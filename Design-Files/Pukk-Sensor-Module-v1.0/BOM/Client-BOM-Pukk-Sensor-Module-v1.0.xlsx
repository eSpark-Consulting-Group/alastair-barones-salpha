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Pukk-Sensor-Module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7" i="1" l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<sst xmlns="http://schemas.openxmlformats.org/spreadsheetml/2006/main" count="533" uniqueCount="348">
  <si>
    <t>#</t>
  </si>
  <si>
    <t>Item Type</t>
  </si>
  <si>
    <t>Capacitor</t>
  </si>
  <si>
    <t>Diode</t>
  </si>
  <si>
    <t>(TVS/ESD)</t>
  </si>
  <si>
    <t>TVS Diode</t>
  </si>
  <si>
    <t>TVS Diodes</t>
  </si>
  <si>
    <t>Diodes</t>
  </si>
  <si>
    <t>Fuses</t>
  </si>
  <si>
    <t>Fuse</t>
  </si>
  <si>
    <t>Ferrite Bead</t>
  </si>
  <si>
    <t>Male Header</t>
  </si>
  <si>
    <t>USB Connectors</t>
  </si>
  <si>
    <t>Connector</t>
  </si>
  <si>
    <t>Connectors</t>
  </si>
  <si>
    <t>LED</t>
  </si>
  <si>
    <t>Resistor</t>
  </si>
  <si>
    <t>Resistors</t>
  </si>
  <si>
    <t>Switch</t>
  </si>
  <si>
    <t>Power Module</t>
  </si>
  <si>
    <t>IC</t>
  </si>
  <si>
    <t>Microcontrollers</t>
  </si>
  <si>
    <t>Optocouplers</t>
  </si>
  <si>
    <t>Crystal</t>
  </si>
  <si>
    <t>Designator</t>
  </si>
  <si>
    <t>C1, C9, C10</t>
  </si>
  <si>
    <t>C2</t>
  </si>
  <si>
    <t>C3, C43, C44, C45</t>
  </si>
  <si>
    <t>C4</t>
  </si>
  <si>
    <t>C5</t>
  </si>
  <si>
    <t>C6</t>
  </si>
  <si>
    <t>C7</t>
  </si>
  <si>
    <t>C8</t>
  </si>
  <si>
    <t>C11</t>
  </si>
  <si>
    <t>C12, C31, C34</t>
  </si>
  <si>
    <t>C13, C14</t>
  </si>
  <si>
    <t>C15, C30</t>
  </si>
  <si>
    <t>C16, C17, C18, C19, C20, C23, C25, C26, C29, C32, C33</t>
  </si>
  <si>
    <t>C21, C22, C24, C39, C40</t>
  </si>
  <si>
    <t>C27, C28</t>
  </si>
  <si>
    <t>C35, C36, C37, C38, C41, C42</t>
  </si>
  <si>
    <t>C46</t>
  </si>
  <si>
    <t>C47</t>
  </si>
  <si>
    <t>D1</t>
  </si>
  <si>
    <t>D2, D4</t>
  </si>
  <si>
    <t>D3</t>
  </si>
  <si>
    <t>D5</t>
  </si>
  <si>
    <t>D6, D7, D8, D9, D10</t>
  </si>
  <si>
    <t>D11</t>
  </si>
  <si>
    <t>D12</t>
  </si>
  <si>
    <t>D13, D16, D18, D19, D20, D22, D23, D24, D25</t>
  </si>
  <si>
    <t>D14</t>
  </si>
  <si>
    <t>D15</t>
  </si>
  <si>
    <t>D17</t>
  </si>
  <si>
    <t>D21</t>
  </si>
  <si>
    <t>D26, D27</t>
  </si>
  <si>
    <t>D28</t>
  </si>
  <si>
    <t>F1, F4</t>
  </si>
  <si>
    <t>F2</t>
  </si>
  <si>
    <t>F3</t>
  </si>
  <si>
    <t>FB1, FB2</t>
  </si>
  <si>
    <t>J1</t>
  </si>
  <si>
    <t>J2</t>
  </si>
  <si>
    <t>J3</t>
  </si>
  <si>
    <t>J15</t>
  </si>
  <si>
    <t>J16</t>
  </si>
  <si>
    <t>J17</t>
  </si>
  <si>
    <t>L1</t>
  </si>
  <si>
    <t>LED1, LED2, LED3, LED4</t>
  </si>
  <si>
    <t>LED5</t>
  </si>
  <si>
    <t>R1, R11, R28, R47, R55, R61, R68, R74, R78, R83</t>
  </si>
  <si>
    <t>R2, R94</t>
  </si>
  <si>
    <t>R3</t>
  </si>
  <si>
    <t>R4, R6</t>
  </si>
  <si>
    <t>R5, R29</t>
  </si>
  <si>
    <t>R7, R8, R9, R10, R12, R13, R14, R15, R16, R17, R18, R19, R20, R21, R22, R23, R24, R25, R26, R27, R30, R31, R32, R33, R34, R35, R36, R37, R38, R39, R40, R41, R42, R43, R44, R45, R46, R48, R49, R50, R51, R52, R54, R56, R57, R58, R59, R84</t>
  </si>
  <si>
    <t>R53, R60</t>
  </si>
  <si>
    <t>R62, R72, R97, R98, R99, R100, R101</t>
  </si>
  <si>
    <t>R63, R69, R75, R80, R85, R89, R95</t>
  </si>
  <si>
    <t>R64, R65, R70, R71, R73, R76, R77, R81, R82, R86, R88, R90, R92, R96</t>
  </si>
  <si>
    <t>R66</t>
  </si>
  <si>
    <t>R67</t>
  </si>
  <si>
    <t>R79</t>
  </si>
  <si>
    <t>R87</t>
  </si>
  <si>
    <t>R91, R93</t>
  </si>
  <si>
    <t>R102, R103</t>
  </si>
  <si>
    <t>SW1, SW2</t>
  </si>
  <si>
    <t>U1</t>
  </si>
  <si>
    <t>U2</t>
  </si>
  <si>
    <t>U3</t>
  </si>
  <si>
    <t>U4</t>
  </si>
  <si>
    <t>U5</t>
  </si>
  <si>
    <t>U6</t>
  </si>
  <si>
    <t>U7</t>
  </si>
  <si>
    <t>U8, U14</t>
  </si>
  <si>
    <t>U9, U10, U11, U12, U13, U15, U16, U17, U19, U20, U21, U22, U24, U25, U27</t>
  </si>
  <si>
    <t>U18</t>
  </si>
  <si>
    <t>U23</t>
  </si>
  <si>
    <t>U26</t>
  </si>
  <si>
    <t>X1</t>
  </si>
  <si>
    <t>Description</t>
  </si>
  <si>
    <t>CAP CER 22UF 10V X7R 0805</t>
  </si>
  <si>
    <t>CAP ALUM 100UF 20% 25V SMD</t>
  </si>
  <si>
    <t>CAP ALUM 330UF 20% 25V SMD</t>
  </si>
  <si>
    <t>CAP CER 10UF 25V X5R 0805</t>
  </si>
  <si>
    <t>CAP CER 1UF 50V X7R 0805</t>
  </si>
  <si>
    <t>CAP CER 0.1UF 50V Y5V 0805</t>
  </si>
  <si>
    <t>CAP CER 0.1UF 50V X7R 0603</t>
  </si>
  <si>
    <t>CAP CER 10UF 50V X7R 1210</t>
  </si>
  <si>
    <t>CAP CER 4.7UF 50V X7R 1206</t>
  </si>
  <si>
    <t>CAP CER 4.7UF 25V X5R 0603</t>
  </si>
  <si>
    <t>CAP CER 2.2UF 25V X5R 0402</t>
  </si>
  <si>
    <t>CAP CER 4.7UF 10V X5R 0402</t>
  </si>
  <si>
    <t>CAP CER 0.1UF 16V X7R 0402</t>
  </si>
  <si>
    <t>CAP CER 1UF 25V X5R 0402</t>
  </si>
  <si>
    <t>CAP CER 12PF 50V C0G/NP0 0402</t>
  </si>
  <si>
    <t>CAP CER 0.1UF 25V X7R 0402</t>
  </si>
  <si>
    <t>CAP CER 22UF 25V X5R 0805</t>
  </si>
  <si>
    <t>CAP CER 4.7UF 25V X7R 0805</t>
  </si>
  <si>
    <t>60V 700mV@2A 2A SMA(DO-214AC) Schottky Barrier Diodes (SBD) ROHS</t>
  </si>
  <si>
    <t>TVS DIODE 5VWM 9.2VC SMA</t>
  </si>
  <si>
    <t>29V 350W 16.7V 15V SOD-323 ESD and Surge Protection (TVS/ESD) ROHS</t>
  </si>
  <si>
    <t>TVS DIODE 3.3VWM 11.5VC MICROSMP</t>
  </si>
  <si>
    <t>DIODE BIDIR ESD X4DFN2</t>
  </si>
  <si>
    <t>TVS DIODE 3VWM SOT323-5</t>
  </si>
  <si>
    <t>TVS DIODE 3VWM ST0201</t>
  </si>
  <si>
    <t>100V 400mW Single 1.25V@150mA 8ns 300mA SOD-123 Switching Diode ROHS</t>
  </si>
  <si>
    <t>DIODE STANDARD 100V 1A DO214AC</t>
  </si>
  <si>
    <t>DIODE ZENER 100V 3W SMB</t>
  </si>
  <si>
    <t>DIODE GEN PURP 100V 300MA SOD123</t>
  </si>
  <si>
    <t>TVS DIODE 24VWM 40VC SOT23-3</t>
  </si>
  <si>
    <t>Independent Type 40.9V~45.6V 1W 43V SMA Zener Diodes ROHS</t>
  </si>
  <si>
    <t>PTC RESET FUSE 6V 1.1A 0805</t>
  </si>
  <si>
    <t>24V 750mA 100A 1.5A 1210 Resettable Fuses ROHS</t>
  </si>
  <si>
    <t>6V 500mA 100A 1A 0805 Resettable Fuses ROHS</t>
  </si>
  <si>
    <t>FERRITE BEAD 1K OHM 0805 1LN</t>
  </si>
  <si>
    <t>Gold 250V 3A Straight Square Pins 2.5mm 3P 260℃ 6mm -40℃~+105℃ 3mm 2.54mm Plugin Black Brass 1x3P Plugin,P=2.54mm Pin Headers ROHS</t>
  </si>
  <si>
    <t>CABLE ADAPTER 6 POS</t>
  </si>
  <si>
    <t>3A 1 5P Mother -40℃~+85℃ Micro-B SMD USB Connectors ROHS</t>
  </si>
  <si>
    <t>PC TEST POINT MINIATURE RED</t>
  </si>
  <si>
    <t>PC TEST POINT MINIATURE BLACK</t>
  </si>
  <si>
    <t>PC TEST POINT MULTIPURPOSE WHITE</t>
  </si>
  <si>
    <t>FIXED IND 4.7UH 1.9A 84 MOHM SMD</t>
  </si>
  <si>
    <t>RED LED 0603 Light Emitting Diodes</t>
  </si>
  <si>
    <t>yellow 0603 Light Emitting Diodes (LED) ROHS</t>
  </si>
  <si>
    <t>RES 10K OHM 1% 1/16W 0402</t>
  </si>
  <si>
    <t>RES 3.9K OHM 1% 1/16W 0402</t>
  </si>
  <si>
    <t>RES SMD 6.8K OHM 0.1% 1/16W 0402</t>
  </si>
  <si>
    <t>RES 499 OHM 1% 1/16W 0402</t>
  </si>
  <si>
    <t>RES 240 OHM 1% 1/16W 0402</t>
  </si>
  <si>
    <t>RES 0 OHM JUMPER 1/16W 0402</t>
  </si>
  <si>
    <t>RES 120 OHM 1% 1/10W 0603</t>
  </si>
  <si>
    <t>RES 4.7K OHM 1% 1/16W 0402</t>
  </si>
  <si>
    <t>RES 1K OHM 1% 1/16W 0402</t>
  </si>
  <si>
    <t>RES 680 OHM 1% 1/16W 0402</t>
  </si>
  <si>
    <t>RES 1K OHM 1% 1/4W 1206</t>
  </si>
  <si>
    <t>RES 330 OHM 1% 1/4W 1206</t>
  </si>
  <si>
    <t>RES 75 OHM 1% 1/10W 0603</t>
  </si>
  <si>
    <t>RES 49.9K OHM 1% 1/16W 0402</t>
  </si>
  <si>
    <t>RES SMD 10K OHM 0.1% 1/10W 0603</t>
  </si>
  <si>
    <t>RES 0 OHM JUMPER 1/10W 0603</t>
  </si>
  <si>
    <t>SWITCH TACTILE SPST-NO 0.05A 12V</t>
  </si>
  <si>
    <t>SIP Isolated Power Modules ROHS</t>
  </si>
  <si>
    <t>IC REG BUCK 5V 2A TSOT26</t>
  </si>
  <si>
    <t>IC REG LINEAR 3.3V 1.3A 6DFN</t>
  </si>
  <si>
    <t>IC MCU 32BIT 1MB FLASH 100LQFP</t>
  </si>
  <si>
    <t>6A 12V 150W 6V Unidirectional 5V SOT-23-6 ESD and Surge Protection (TVS/ESD) ROHS</t>
  </si>
  <si>
    <t>IC TRANSCEIVER HALF 1/1 8SOIC</t>
  </si>
  <si>
    <t>IC TRANSCEIVER FULL 1/1 16SOIC</t>
  </si>
  <si>
    <t>IC INVERTER 1CH 1-INP SOT23-5</t>
  </si>
  <si>
    <t>OPTOISO 3.75KV 1CH TRANS 4-SSOP</t>
  </si>
  <si>
    <t>IC REG LIN POS ADJ 500MA SOT223</t>
  </si>
  <si>
    <t>IC ADC 16BIT SIGMA-DELTA 10VSSOP</t>
  </si>
  <si>
    <t>DGTL ISOLTR 2.5KV 2CH I2C 8-SOIC</t>
  </si>
  <si>
    <t>CRYSTAL 48.0000MHZ 10PF SMD</t>
  </si>
  <si>
    <t>Footprint</t>
  </si>
  <si>
    <t>Cap-0805</t>
  </si>
  <si>
    <t>EEE-FK1E101XP</t>
  </si>
  <si>
    <t>UWT1E331MNL1GS</t>
  </si>
  <si>
    <t>Cap-0603</t>
  </si>
  <si>
    <t>Cap-1210</t>
  </si>
  <si>
    <t>Cap-1206</t>
  </si>
  <si>
    <t>Cap-0402</t>
  </si>
  <si>
    <t>SMA(DO-214AC)</t>
  </si>
  <si>
    <t>SMA Bi Directional</t>
  </si>
  <si>
    <t>SOD-323 (Bi-directional)</t>
  </si>
  <si>
    <t>MicroSMP</t>
  </si>
  <si>
    <t>DFN-2(0.3x0.6)</t>
  </si>
  <si>
    <t>SOT-323-5</t>
  </si>
  <si>
    <t>Diode-0201</t>
  </si>
  <si>
    <t>SOD-123</t>
  </si>
  <si>
    <t>SMB_</t>
  </si>
  <si>
    <t>SOT-23</t>
  </si>
  <si>
    <t>SMA</t>
  </si>
  <si>
    <t>Fuse-0805</t>
  </si>
  <si>
    <t>FUSE-1210</t>
  </si>
  <si>
    <t>Ind-0805</t>
  </si>
  <si>
    <t>HDR1X3_</t>
  </si>
  <si>
    <t>U-E-051N-4BH21-S1B</t>
  </si>
  <si>
    <t>SRN4018-4R7M</t>
  </si>
  <si>
    <t>LED-0603</t>
  </si>
  <si>
    <t>Res-0402</t>
  </si>
  <si>
    <t>Res-0603</t>
  </si>
  <si>
    <t>Res-1206</t>
  </si>
  <si>
    <t>B3U-1000P</t>
  </si>
  <si>
    <t>VRB1205S-6WR3</t>
  </si>
  <si>
    <t>TSOT-23-6</t>
  </si>
  <si>
    <t>DFN-6(3x3)</t>
  </si>
  <si>
    <t>LQFP-100</t>
  </si>
  <si>
    <t>SOT-23-6</t>
  </si>
  <si>
    <t>SOIC-8(0.154", 3.90mm Width)</t>
  </si>
  <si>
    <t>SOIC-16-300mil</t>
  </si>
  <si>
    <t>SOT-23-5</t>
  </si>
  <si>
    <t>SOIC-4-175mil</t>
  </si>
  <si>
    <t>SOT- 223</t>
  </si>
  <si>
    <t>VSSOP-10</t>
  </si>
  <si>
    <t>SMD2016-4P</t>
  </si>
  <si>
    <t>Manufacturer Part Number</t>
  </si>
  <si>
    <t>GRM21BZ71A226ME15L</t>
  </si>
  <si>
    <t>CC0805KKX5R8BB106</t>
  </si>
  <si>
    <t>08055C105KAT2A</t>
  </si>
  <si>
    <t>CL21F104ZBCNNNC</t>
  </si>
  <si>
    <t>CC1210KKX7R9BB106</t>
  </si>
  <si>
    <t>UMK316AB7475KL-T</t>
  </si>
  <si>
    <t>GRM188R61E475KE11D</t>
  </si>
  <si>
    <t>GRM155R61E225KE11D</t>
  </si>
  <si>
    <t>CC0402KRX5R6BB475</t>
  </si>
  <si>
    <t>CC0402JRX7R7BB104</t>
  </si>
  <si>
    <t>CC0402KRX5R8BB105</t>
  </si>
  <si>
    <t>GJM1555C1H120GB01D</t>
  </si>
  <si>
    <t>CC0402KRX7R8BB104</t>
  </si>
  <si>
    <t>GRM21BR61E226ME44L</t>
  </si>
  <si>
    <t>CC0805KKX7R8BB475</t>
  </si>
  <si>
    <t>SS26</t>
  </si>
  <si>
    <t>SMAJ5.0CA</t>
  </si>
  <si>
    <t>SD15C.TCT</t>
  </si>
  <si>
    <t>MSP3V3HM3/89A</t>
  </si>
  <si>
    <t>ESDM2033MX4T5G</t>
  </si>
  <si>
    <t>ESDALC6V1W5</t>
  </si>
  <si>
    <t>ESDALC6V1-1U2</t>
  </si>
  <si>
    <t>1N4148W</t>
  </si>
  <si>
    <t>ES1B</t>
  </si>
  <si>
    <t>1SMB5949BT3G</t>
  </si>
  <si>
    <t>1N4148W-7-F</t>
  </si>
  <si>
    <t>CDSOT23-T24CAN-Q</t>
  </si>
  <si>
    <t>1SMA4755A</t>
  </si>
  <si>
    <t>0805L110SLYR</t>
  </si>
  <si>
    <t>1210L075/24PR</t>
  </si>
  <si>
    <t>0805L050WR</t>
  </si>
  <si>
    <t>MMZ2012R102ATD25</t>
  </si>
  <si>
    <t>X6511WV-03H-C60D30</t>
  </si>
  <si>
    <t>TC2030-IDC</t>
  </si>
  <si>
    <t>NCD0603R3</t>
  </si>
  <si>
    <t>NCD0603Y2</t>
  </si>
  <si>
    <t>RC0402FR-0710KL</t>
  </si>
  <si>
    <t>RC0402FR-073K9L</t>
  </si>
  <si>
    <t>RT0402BRC076K8L</t>
  </si>
  <si>
    <t>RC0402FR-07499RL</t>
  </si>
  <si>
    <t>RC0402FR-07240RL</t>
  </si>
  <si>
    <t>RC0402FR-070RL</t>
  </si>
  <si>
    <t>RC0603FR-07120RL</t>
  </si>
  <si>
    <t>RC0402FR-074K7L</t>
  </si>
  <si>
    <t>RC0402FR-071KL</t>
  </si>
  <si>
    <t>RC0402FR-07680RL</t>
  </si>
  <si>
    <t>RC1206FR-071KL</t>
  </si>
  <si>
    <t>RC1206FR-07330RL</t>
  </si>
  <si>
    <t>RC0603FR-0775RL</t>
  </si>
  <si>
    <t>RC0402FR-0749K9L</t>
  </si>
  <si>
    <t>RT0603BRD0710KL</t>
  </si>
  <si>
    <t>RC0603JR-070RL</t>
  </si>
  <si>
    <t>AP63205WU-7</t>
  </si>
  <si>
    <t>ST1L05APU33R</t>
  </si>
  <si>
    <t>STM32H723VGT6</t>
  </si>
  <si>
    <t>USBLC6-2SC6</t>
  </si>
  <si>
    <t>TCAN3414DR</t>
  </si>
  <si>
    <t>ISO1042DWR</t>
  </si>
  <si>
    <t>SN74AHC1G14DBVR</t>
  </si>
  <si>
    <t>VOS617A-4T</t>
  </si>
  <si>
    <t>LM317MDCYR</t>
  </si>
  <si>
    <t>ADS1115IDGSR</t>
  </si>
  <si>
    <t>ISO1540DR</t>
  </si>
  <si>
    <t>Q22FA12800150</t>
  </si>
  <si>
    <t>Manufacturer</t>
  </si>
  <si>
    <t>Murata</t>
  </si>
  <si>
    <t>Panasonic</t>
  </si>
  <si>
    <t>Nichicon</t>
  </si>
  <si>
    <t>Yageo</t>
  </si>
  <si>
    <t>Kyocera AVX</t>
  </si>
  <si>
    <t>Samsung</t>
  </si>
  <si>
    <t>Taiyo Yuden</t>
  </si>
  <si>
    <t>MDD</t>
  </si>
  <si>
    <t>FTR</t>
  </si>
  <si>
    <t>SEMTECH</t>
  </si>
  <si>
    <t>Vishay Semiconductors</t>
  </si>
  <si>
    <t>ON Semiconductor</t>
  </si>
  <si>
    <t>STMicroelectronics</t>
  </si>
  <si>
    <t>JSMSEMI</t>
  </si>
  <si>
    <t>ON Semiconductor / Fairchild</t>
  </si>
  <si>
    <t>Bourns</t>
  </si>
  <si>
    <t>Shandong Jingdao Microelectronics</t>
  </si>
  <si>
    <t>Littelfuse</t>
  </si>
  <si>
    <t>Littlefuse</t>
  </si>
  <si>
    <t>TDK</t>
  </si>
  <si>
    <t>XKB</t>
  </si>
  <si>
    <t>Tag-Connect</t>
  </si>
  <si>
    <t>XKB Connection</t>
  </si>
  <si>
    <t>Keystone Electronics</t>
  </si>
  <si>
    <t>Foshan NationStar Optoelectronics</t>
  </si>
  <si>
    <t>Omron</t>
  </si>
  <si>
    <t>YLPTEC</t>
  </si>
  <si>
    <t>TECH PUBLIC</t>
  </si>
  <si>
    <t>Texas Instruments</t>
  </si>
  <si>
    <t>Epson</t>
  </si>
  <si>
    <t>22uF</t>
  </si>
  <si>
    <t>100uF</t>
  </si>
  <si>
    <t>330uF</t>
  </si>
  <si>
    <t>10uF</t>
  </si>
  <si>
    <t>1uF</t>
  </si>
  <si>
    <t>0.1uF</t>
  </si>
  <si>
    <t>4.7uF</t>
  </si>
  <si>
    <t>2.2uf</t>
  </si>
  <si>
    <t>12pF</t>
  </si>
  <si>
    <t>4.7uH</t>
  </si>
  <si>
    <t>10K</t>
  </si>
  <si>
    <t>3.9K</t>
  </si>
  <si>
    <t>6.8K</t>
  </si>
  <si>
    <t>499R</t>
  </si>
  <si>
    <t>240R</t>
  </si>
  <si>
    <t>0R</t>
  </si>
  <si>
    <t>120R</t>
  </si>
  <si>
    <t>4.7K</t>
  </si>
  <si>
    <t>1K</t>
  </si>
  <si>
    <t>680R</t>
  </si>
  <si>
    <t>330R</t>
  </si>
  <si>
    <t>75R</t>
  </si>
  <si>
    <t>49.9K</t>
  </si>
  <si>
    <t>DNP</t>
  </si>
  <si>
    <t>48MHz</t>
  </si>
  <si>
    <t>Quantity</t>
  </si>
  <si>
    <t>CL10B104KB8WPNC</t>
  </si>
  <si>
    <t>Value</t>
  </si>
  <si>
    <t>Remarks</t>
  </si>
  <si>
    <t>-</t>
  </si>
  <si>
    <t>DO NOT PLACE</t>
  </si>
  <si>
    <t>Inductor</t>
  </si>
  <si>
    <t>Tag Connector</t>
  </si>
  <si>
    <t>Custom</t>
  </si>
  <si>
    <t>This part use as 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</si>
</sst>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7"/>
  <sheetViews>
    <sheetView tabSelected="1" topLeftCell="A31" workbookViewId="0">
      <selection activeCell="F41" sqref="F41:F4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24</v>
      </c>
      <c r="E2" s="6" t="s">
        <v>100</v>
      </c>
      <c r="F2" s="5" t="s">
        <v>175</v>
      </c>
      <c r="G2" s="6" t="s">
        <v>217</v>
      </c>
      <c r="H2" s="5" t="s">
        <v>282</v>
      </c>
      <c r="I2" s="6" t="s">
        <v>340</v>
      </c>
      <c r="J2" s="5" t="s">
        <v>338</v>
      </c>
      <c r="K2" s="5" t="s">
        <v>341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25</v>
      </c>
      <c r="E3" s="8" t="s">
        <v>101</v>
      </c>
      <c r="F3" s="7" t="s">
        <v>176</v>
      </c>
      <c r="G3" s="8" t="s">
        <v>218</v>
      </c>
      <c r="H3" s="7" t="s">
        <v>283</v>
      </c>
      <c r="I3" s="8" t="s">
        <v>313</v>
      </c>
      <c r="J3" s="7">
        <v>3</v>
      </c>
      <c r="K3" s="7"/>
    </row>
    <row r="4" spans="1:11" ht="15.75" thickBot="1" x14ac:dyDescent="0.3">
      <c r="A4" s="1"/>
      <c r="B4" s="11">
        <f t="shared" ref="B4:B76" si="0">ROW(B4) - ROW($B$2)</f>
        <v>2</v>
      </c>
      <c r="C4" s="13" t="s">
        <v>2</v>
      </c>
      <c r="D4" s="9" t="s">
        <v>26</v>
      </c>
      <c r="E4" s="10" t="s">
        <v>102</v>
      </c>
      <c r="F4" s="9" t="s">
        <v>346</v>
      </c>
      <c r="G4" s="10" t="s">
        <v>177</v>
      </c>
      <c r="H4" s="9" t="s">
        <v>284</v>
      </c>
      <c r="I4" s="10" t="s">
        <v>314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27</v>
      </c>
      <c r="E5" s="8" t="s">
        <v>103</v>
      </c>
      <c r="F5" s="9" t="s">
        <v>346</v>
      </c>
      <c r="G5" s="8" t="s">
        <v>178</v>
      </c>
      <c r="H5" s="7" t="s">
        <v>285</v>
      </c>
      <c r="I5" s="8" t="s">
        <v>315</v>
      </c>
      <c r="J5" s="7">
        <v>4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28</v>
      </c>
      <c r="E6" s="10" t="s">
        <v>104</v>
      </c>
      <c r="F6" s="9" t="s">
        <v>176</v>
      </c>
      <c r="G6" s="10" t="s">
        <v>219</v>
      </c>
      <c r="H6" s="9" t="s">
        <v>286</v>
      </c>
      <c r="I6" s="10" t="s">
        <v>316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29</v>
      </c>
      <c r="E7" s="8" t="s">
        <v>105</v>
      </c>
      <c r="F7" s="7" t="s">
        <v>176</v>
      </c>
      <c r="G7" s="8" t="s">
        <v>220</v>
      </c>
      <c r="H7" s="7" t="s">
        <v>287</v>
      </c>
      <c r="I7" s="8" t="s">
        <v>317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30</v>
      </c>
      <c r="E8" s="10" t="s">
        <v>106</v>
      </c>
      <c r="F8" s="9" t="s">
        <v>176</v>
      </c>
      <c r="G8" s="10" t="s">
        <v>221</v>
      </c>
      <c r="H8" s="9" t="s">
        <v>288</v>
      </c>
      <c r="I8" s="10" t="s">
        <v>318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31</v>
      </c>
      <c r="E9" s="8" t="s">
        <v>107</v>
      </c>
      <c r="F9" s="7" t="s">
        <v>179</v>
      </c>
      <c r="G9" s="8" t="s">
        <v>339</v>
      </c>
      <c r="H9" s="9" t="s">
        <v>288</v>
      </c>
      <c r="I9" s="8" t="s">
        <v>318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32</v>
      </c>
      <c r="E10" s="10" t="s">
        <v>108</v>
      </c>
      <c r="F10" s="9" t="s">
        <v>180</v>
      </c>
      <c r="G10" s="10" t="s">
        <v>222</v>
      </c>
      <c r="H10" s="9" t="s">
        <v>286</v>
      </c>
      <c r="I10" s="10" t="s">
        <v>316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33</v>
      </c>
      <c r="E11" s="8" t="s">
        <v>109</v>
      </c>
      <c r="F11" s="7" t="s">
        <v>181</v>
      </c>
      <c r="G11" s="8" t="s">
        <v>223</v>
      </c>
      <c r="H11" s="7" t="s">
        <v>289</v>
      </c>
      <c r="I11" s="8" t="s">
        <v>319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34</v>
      </c>
      <c r="E12" s="10" t="s">
        <v>110</v>
      </c>
      <c r="F12" s="9" t="s">
        <v>179</v>
      </c>
      <c r="G12" s="10" t="s">
        <v>224</v>
      </c>
      <c r="H12" s="9" t="s">
        <v>283</v>
      </c>
      <c r="I12" s="10" t="s">
        <v>319</v>
      </c>
      <c r="J12" s="9">
        <v>3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2</v>
      </c>
      <c r="D13" s="7" t="s">
        <v>35</v>
      </c>
      <c r="E13" s="8" t="s">
        <v>111</v>
      </c>
      <c r="F13" s="7" t="s">
        <v>182</v>
      </c>
      <c r="G13" s="8" t="s">
        <v>225</v>
      </c>
      <c r="H13" s="7" t="s">
        <v>283</v>
      </c>
      <c r="I13" s="8" t="s">
        <v>320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36</v>
      </c>
      <c r="E14" s="10" t="s">
        <v>112</v>
      </c>
      <c r="F14" s="9" t="s">
        <v>182</v>
      </c>
      <c r="G14" s="10" t="s">
        <v>226</v>
      </c>
      <c r="H14" s="9" t="s">
        <v>286</v>
      </c>
      <c r="I14" s="10" t="s">
        <v>319</v>
      </c>
      <c r="J14" s="9">
        <v>2</v>
      </c>
      <c r="K14" s="9"/>
    </row>
    <row r="15" spans="1:11" ht="24.75" thickBot="1" x14ac:dyDescent="0.3">
      <c r="A15" s="1"/>
      <c r="B15" s="11">
        <f>ROW(B15) - ROW($B$2)</f>
        <v>13</v>
      </c>
      <c r="C15" s="13" t="s">
        <v>2</v>
      </c>
      <c r="D15" s="7" t="s">
        <v>37</v>
      </c>
      <c r="E15" s="8" t="s">
        <v>113</v>
      </c>
      <c r="F15" s="7" t="s">
        <v>182</v>
      </c>
      <c r="G15" s="8" t="s">
        <v>227</v>
      </c>
      <c r="H15" s="7" t="s">
        <v>286</v>
      </c>
      <c r="I15" s="8" t="s">
        <v>318</v>
      </c>
      <c r="J15" s="7">
        <v>11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38</v>
      </c>
      <c r="E16" s="10" t="s">
        <v>114</v>
      </c>
      <c r="F16" s="9" t="s">
        <v>182</v>
      </c>
      <c r="G16" s="10" t="s">
        <v>228</v>
      </c>
      <c r="H16" s="9" t="s">
        <v>286</v>
      </c>
      <c r="I16" s="10" t="s">
        <v>317</v>
      </c>
      <c r="J16" s="9">
        <v>5</v>
      </c>
      <c r="K16" s="9"/>
    </row>
    <row r="17" spans="1:11" ht="15.75" thickBot="1" x14ac:dyDescent="0.3">
      <c r="A17" s="1"/>
      <c r="B17" s="11">
        <f>ROW(B17) - ROW($B$2)</f>
        <v>15</v>
      </c>
      <c r="C17" s="13" t="s">
        <v>2</v>
      </c>
      <c r="D17" s="7" t="s">
        <v>39</v>
      </c>
      <c r="E17" s="8" t="s">
        <v>115</v>
      </c>
      <c r="F17" s="7" t="s">
        <v>182</v>
      </c>
      <c r="G17" s="8" t="s">
        <v>229</v>
      </c>
      <c r="H17" s="7" t="s">
        <v>283</v>
      </c>
      <c r="I17" s="8" t="s">
        <v>321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40</v>
      </c>
      <c r="E18" s="10" t="s">
        <v>116</v>
      </c>
      <c r="F18" s="9" t="s">
        <v>182</v>
      </c>
      <c r="G18" s="10" t="s">
        <v>230</v>
      </c>
      <c r="H18" s="9" t="s">
        <v>286</v>
      </c>
      <c r="I18" s="10" t="s">
        <v>318</v>
      </c>
      <c r="J18" s="9">
        <v>6</v>
      </c>
      <c r="K18" s="9"/>
    </row>
    <row r="19" spans="1:11" ht="15.75" thickBot="1" x14ac:dyDescent="0.3">
      <c r="A19" s="1"/>
      <c r="B19" s="11">
        <f>ROW(B19) - ROW($B$2)</f>
        <v>17</v>
      </c>
      <c r="C19" s="13" t="s">
        <v>2</v>
      </c>
      <c r="D19" s="7" t="s">
        <v>41</v>
      </c>
      <c r="E19" s="8" t="s">
        <v>117</v>
      </c>
      <c r="F19" s="7" t="s">
        <v>176</v>
      </c>
      <c r="G19" s="8" t="s">
        <v>231</v>
      </c>
      <c r="H19" s="7" t="s">
        <v>283</v>
      </c>
      <c r="I19" s="8" t="s">
        <v>313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42</v>
      </c>
      <c r="E20" s="10" t="s">
        <v>118</v>
      </c>
      <c r="F20" s="9" t="s">
        <v>176</v>
      </c>
      <c r="G20" s="10" t="s">
        <v>232</v>
      </c>
      <c r="H20" s="9" t="s">
        <v>286</v>
      </c>
      <c r="I20" s="10" t="s">
        <v>319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3</v>
      </c>
      <c r="D21" s="7" t="s">
        <v>43</v>
      </c>
      <c r="E21" s="8" t="s">
        <v>119</v>
      </c>
      <c r="F21" s="7" t="s">
        <v>183</v>
      </c>
      <c r="G21" s="8" t="s">
        <v>233</v>
      </c>
      <c r="H21" s="7" t="s">
        <v>290</v>
      </c>
      <c r="I21" s="8" t="s">
        <v>342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3</v>
      </c>
      <c r="D22" s="9" t="s">
        <v>44</v>
      </c>
      <c r="E22" s="10" t="s">
        <v>120</v>
      </c>
      <c r="F22" s="9" t="s">
        <v>184</v>
      </c>
      <c r="G22" s="10" t="s">
        <v>234</v>
      </c>
      <c r="H22" s="9" t="s">
        <v>291</v>
      </c>
      <c r="I22" s="8" t="s">
        <v>342</v>
      </c>
      <c r="J22" s="9">
        <v>2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4</v>
      </c>
      <c r="D23" s="7" t="s">
        <v>45</v>
      </c>
      <c r="E23" s="8" t="s">
        <v>121</v>
      </c>
      <c r="F23" s="7" t="s">
        <v>185</v>
      </c>
      <c r="G23" s="8" t="s">
        <v>235</v>
      </c>
      <c r="H23" s="7" t="s">
        <v>292</v>
      </c>
      <c r="I23" s="8" t="s">
        <v>342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5</v>
      </c>
      <c r="D24" s="9" t="s">
        <v>46</v>
      </c>
      <c r="E24" s="10" t="s">
        <v>122</v>
      </c>
      <c r="F24" s="9" t="s">
        <v>186</v>
      </c>
      <c r="G24" s="10" t="s">
        <v>236</v>
      </c>
      <c r="H24" s="9" t="s">
        <v>293</v>
      </c>
      <c r="I24" s="8" t="s">
        <v>342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47</v>
      </c>
      <c r="E25" s="8" t="s">
        <v>123</v>
      </c>
      <c r="F25" s="7" t="s">
        <v>187</v>
      </c>
      <c r="G25" s="8" t="s">
        <v>237</v>
      </c>
      <c r="H25" s="7" t="s">
        <v>294</v>
      </c>
      <c r="I25" s="8" t="s">
        <v>342</v>
      </c>
      <c r="J25" s="7">
        <v>5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6</v>
      </c>
      <c r="D26" s="9" t="s">
        <v>48</v>
      </c>
      <c r="E26" s="10" t="s">
        <v>124</v>
      </c>
      <c r="F26" s="9" t="s">
        <v>188</v>
      </c>
      <c r="G26" s="10" t="s">
        <v>238</v>
      </c>
      <c r="H26" s="9" t="s">
        <v>295</v>
      </c>
      <c r="I26" s="8" t="s">
        <v>342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3" t="s">
        <v>6</v>
      </c>
      <c r="D27" s="7" t="s">
        <v>49</v>
      </c>
      <c r="E27" s="8" t="s">
        <v>125</v>
      </c>
      <c r="F27" s="7" t="s">
        <v>189</v>
      </c>
      <c r="G27" s="8" t="s">
        <v>239</v>
      </c>
      <c r="H27" s="7" t="s">
        <v>295</v>
      </c>
      <c r="I27" s="8" t="s">
        <v>342</v>
      </c>
      <c r="J27" s="7">
        <v>1</v>
      </c>
      <c r="K27" s="7"/>
    </row>
    <row r="28" spans="1:11" ht="36.75" thickBot="1" x14ac:dyDescent="0.3">
      <c r="A28" s="1"/>
      <c r="B28" s="11">
        <f t="shared" si="0"/>
        <v>26</v>
      </c>
      <c r="C28" s="13" t="s">
        <v>3</v>
      </c>
      <c r="D28" s="9" t="s">
        <v>50</v>
      </c>
      <c r="E28" s="10" t="s">
        <v>126</v>
      </c>
      <c r="F28" s="9" t="s">
        <v>190</v>
      </c>
      <c r="G28" s="10" t="s">
        <v>240</v>
      </c>
      <c r="H28" s="9" t="s">
        <v>296</v>
      </c>
      <c r="I28" s="8" t="s">
        <v>342</v>
      </c>
      <c r="J28" s="9">
        <v>9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7</v>
      </c>
      <c r="D29" s="7" t="s">
        <v>51</v>
      </c>
      <c r="E29" s="8" t="s">
        <v>127</v>
      </c>
      <c r="F29" s="7" t="s">
        <v>183</v>
      </c>
      <c r="G29" s="8" t="s">
        <v>241</v>
      </c>
      <c r="H29" s="7" t="s">
        <v>297</v>
      </c>
      <c r="I29" s="8" t="s">
        <v>342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7</v>
      </c>
      <c r="D30" s="9" t="s">
        <v>52</v>
      </c>
      <c r="E30" s="10" t="s">
        <v>128</v>
      </c>
      <c r="F30" s="9" t="s">
        <v>191</v>
      </c>
      <c r="G30" s="10" t="s">
        <v>242</v>
      </c>
      <c r="H30" s="9" t="s">
        <v>294</v>
      </c>
      <c r="I30" s="8" t="s">
        <v>342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3</v>
      </c>
      <c r="D31" s="7" t="s">
        <v>53</v>
      </c>
      <c r="E31" s="8" t="s">
        <v>129</v>
      </c>
      <c r="F31" s="7" t="s">
        <v>190</v>
      </c>
      <c r="G31" s="8" t="s">
        <v>243</v>
      </c>
      <c r="H31" s="7" t="s">
        <v>7</v>
      </c>
      <c r="I31" s="8" t="s">
        <v>342</v>
      </c>
      <c r="J31" s="7">
        <v>1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5</v>
      </c>
      <c r="D32" s="9" t="s">
        <v>54</v>
      </c>
      <c r="E32" s="10" t="s">
        <v>122</v>
      </c>
      <c r="F32" s="9" t="s">
        <v>186</v>
      </c>
      <c r="G32" s="10" t="s">
        <v>236</v>
      </c>
      <c r="H32" s="9"/>
      <c r="I32" s="8" t="s">
        <v>342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6</v>
      </c>
      <c r="D33" s="7" t="s">
        <v>55</v>
      </c>
      <c r="E33" s="8" t="s">
        <v>130</v>
      </c>
      <c r="F33" s="7" t="s">
        <v>192</v>
      </c>
      <c r="G33" s="8" t="s">
        <v>244</v>
      </c>
      <c r="H33" s="7" t="s">
        <v>298</v>
      </c>
      <c r="I33" s="8" t="s">
        <v>342</v>
      </c>
      <c r="J33" s="7">
        <v>2</v>
      </c>
      <c r="K33" s="7"/>
    </row>
    <row r="34" spans="1:11" ht="24.75" thickBot="1" x14ac:dyDescent="0.3">
      <c r="A34" s="1"/>
      <c r="B34" s="11">
        <f t="shared" si="0"/>
        <v>32</v>
      </c>
      <c r="C34" s="13" t="s">
        <v>3</v>
      </c>
      <c r="D34" s="9" t="s">
        <v>56</v>
      </c>
      <c r="E34" s="10" t="s">
        <v>131</v>
      </c>
      <c r="F34" s="9" t="s">
        <v>193</v>
      </c>
      <c r="G34" s="10" t="s">
        <v>245</v>
      </c>
      <c r="H34" s="9" t="s">
        <v>299</v>
      </c>
      <c r="I34" s="8" t="s">
        <v>342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8</v>
      </c>
      <c r="D35" s="7" t="s">
        <v>57</v>
      </c>
      <c r="E35" s="8" t="s">
        <v>132</v>
      </c>
      <c r="F35" s="7" t="s">
        <v>194</v>
      </c>
      <c r="G35" s="8" t="s">
        <v>246</v>
      </c>
      <c r="H35" s="7" t="s">
        <v>300</v>
      </c>
      <c r="I35" s="8" t="s">
        <v>342</v>
      </c>
      <c r="J35" s="7">
        <v>2</v>
      </c>
      <c r="K35" s="7"/>
    </row>
    <row r="36" spans="1:11" ht="24.75" thickBot="1" x14ac:dyDescent="0.3">
      <c r="A36" s="1"/>
      <c r="B36" s="11">
        <f t="shared" si="0"/>
        <v>34</v>
      </c>
      <c r="C36" s="13" t="s">
        <v>9</v>
      </c>
      <c r="D36" s="9" t="s">
        <v>58</v>
      </c>
      <c r="E36" s="10" t="s">
        <v>133</v>
      </c>
      <c r="F36" s="9" t="s">
        <v>195</v>
      </c>
      <c r="G36" s="10" t="s">
        <v>247</v>
      </c>
      <c r="H36" s="9" t="s">
        <v>301</v>
      </c>
      <c r="I36" s="8" t="s">
        <v>342</v>
      </c>
      <c r="J36" s="9">
        <v>1</v>
      </c>
      <c r="K36" s="9"/>
    </row>
    <row r="37" spans="1:11" ht="24.75" thickBot="1" x14ac:dyDescent="0.3">
      <c r="A37" s="1"/>
      <c r="B37" s="11">
        <f>ROW(B37) - ROW($B$2)</f>
        <v>35</v>
      </c>
      <c r="C37" s="12" t="s">
        <v>9</v>
      </c>
      <c r="D37" s="7" t="s">
        <v>59</v>
      </c>
      <c r="E37" s="8" t="s">
        <v>134</v>
      </c>
      <c r="F37" s="7" t="s">
        <v>194</v>
      </c>
      <c r="G37" s="8" t="s">
        <v>248</v>
      </c>
      <c r="H37" s="7" t="s">
        <v>300</v>
      </c>
      <c r="I37" s="8" t="s">
        <v>342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10</v>
      </c>
      <c r="D38" s="9" t="s">
        <v>60</v>
      </c>
      <c r="E38" s="10" t="s">
        <v>135</v>
      </c>
      <c r="F38" s="9" t="s">
        <v>196</v>
      </c>
      <c r="G38" s="10" t="s">
        <v>249</v>
      </c>
      <c r="H38" s="9" t="s">
        <v>302</v>
      </c>
      <c r="I38" s="8" t="s">
        <v>342</v>
      </c>
      <c r="J38" s="9">
        <v>2</v>
      </c>
      <c r="K38" s="9"/>
    </row>
    <row r="39" spans="1:11" ht="48.75" thickBot="1" x14ac:dyDescent="0.3">
      <c r="A39" s="1"/>
      <c r="B39" s="11">
        <f>ROW(B39) - ROW($B$2)</f>
        <v>37</v>
      </c>
      <c r="C39" s="12" t="s">
        <v>11</v>
      </c>
      <c r="D39" s="7" t="s">
        <v>61</v>
      </c>
      <c r="E39" s="8" t="s">
        <v>136</v>
      </c>
      <c r="F39" s="7" t="s">
        <v>197</v>
      </c>
      <c r="G39" s="8" t="s">
        <v>250</v>
      </c>
      <c r="H39" s="7" t="s">
        <v>303</v>
      </c>
      <c r="I39" s="8" t="s">
        <v>342</v>
      </c>
      <c r="J39" s="7">
        <v>1</v>
      </c>
      <c r="K39" s="7"/>
    </row>
    <row r="40" spans="1:11" ht="26.25" thickBot="1" x14ac:dyDescent="0.3">
      <c r="A40" s="1"/>
      <c r="B40" s="11">
        <f t="shared" si="0"/>
        <v>38</v>
      </c>
      <c r="C40" s="13" t="s">
        <v>345</v>
      </c>
      <c r="D40" s="18" t="s">
        <v>62</v>
      </c>
      <c r="E40" s="19" t="s">
        <v>137</v>
      </c>
      <c r="F40" s="18" t="s">
        <v>346</v>
      </c>
      <c r="G40" s="19" t="s">
        <v>251</v>
      </c>
      <c r="H40" s="18" t="s">
        <v>304</v>
      </c>
      <c r="I40" s="20" t="s">
        <v>342</v>
      </c>
      <c r="J40" s="18">
        <v>1</v>
      </c>
      <c r="K40" s="21" t="s">
        <v>347</v>
      </c>
    </row>
    <row r="41" spans="1:11" ht="24.75" thickBot="1" x14ac:dyDescent="0.3">
      <c r="A41" s="1"/>
      <c r="B41" s="11">
        <f>ROW(B41) - ROW($B$2)</f>
        <v>39</v>
      </c>
      <c r="C41" s="12" t="s">
        <v>12</v>
      </c>
      <c r="D41" s="7" t="s">
        <v>63</v>
      </c>
      <c r="E41" s="8" t="s">
        <v>138</v>
      </c>
      <c r="F41" s="9" t="s">
        <v>346</v>
      </c>
      <c r="G41" s="8" t="s">
        <v>198</v>
      </c>
      <c r="H41" s="7" t="s">
        <v>305</v>
      </c>
      <c r="I41" s="8" t="s">
        <v>342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13</v>
      </c>
      <c r="D42" s="9" t="s">
        <v>64</v>
      </c>
      <c r="E42" s="10" t="s">
        <v>139</v>
      </c>
      <c r="F42" s="9" t="s">
        <v>346</v>
      </c>
      <c r="G42" s="10">
        <v>5000</v>
      </c>
      <c r="H42" s="9" t="s">
        <v>306</v>
      </c>
      <c r="I42" s="8" t="s">
        <v>342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13</v>
      </c>
      <c r="D43" s="7" t="s">
        <v>65</v>
      </c>
      <c r="E43" s="8" t="s">
        <v>140</v>
      </c>
      <c r="F43" s="9" t="s">
        <v>346</v>
      </c>
      <c r="G43" s="8">
        <v>5001</v>
      </c>
      <c r="H43" s="7" t="s">
        <v>306</v>
      </c>
      <c r="I43" s="8" t="s">
        <v>342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14</v>
      </c>
      <c r="D44" s="9" t="s">
        <v>66</v>
      </c>
      <c r="E44" s="10" t="s">
        <v>141</v>
      </c>
      <c r="F44" s="9" t="s">
        <v>346</v>
      </c>
      <c r="G44" s="10">
        <v>5012</v>
      </c>
      <c r="H44" s="9" t="s">
        <v>306</v>
      </c>
      <c r="I44" s="8" t="s">
        <v>342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344</v>
      </c>
      <c r="D45" s="7" t="s">
        <v>67</v>
      </c>
      <c r="E45" s="8" t="s">
        <v>142</v>
      </c>
      <c r="F45" s="7" t="s">
        <v>346</v>
      </c>
      <c r="G45" s="8" t="s">
        <v>199</v>
      </c>
      <c r="H45" s="7" t="s">
        <v>298</v>
      </c>
      <c r="I45" s="8" t="s">
        <v>322</v>
      </c>
      <c r="J45" s="7">
        <v>1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15</v>
      </c>
      <c r="D46" s="9" t="s">
        <v>68</v>
      </c>
      <c r="E46" s="10" t="s">
        <v>143</v>
      </c>
      <c r="F46" s="9" t="s">
        <v>200</v>
      </c>
      <c r="G46" s="10" t="s">
        <v>252</v>
      </c>
      <c r="H46" s="9" t="s">
        <v>307</v>
      </c>
      <c r="I46" s="10" t="s">
        <v>342</v>
      </c>
      <c r="J46" s="9">
        <v>4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15</v>
      </c>
      <c r="D47" s="7" t="s">
        <v>69</v>
      </c>
      <c r="E47" s="8" t="s">
        <v>144</v>
      </c>
      <c r="F47" s="7" t="s">
        <v>200</v>
      </c>
      <c r="G47" s="8" t="s">
        <v>253</v>
      </c>
      <c r="H47" s="7" t="s">
        <v>307</v>
      </c>
      <c r="I47" s="10" t="s">
        <v>342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16</v>
      </c>
      <c r="D48" s="9" t="s">
        <v>70</v>
      </c>
      <c r="E48" s="10" t="s">
        <v>145</v>
      </c>
      <c r="F48" s="9" t="s">
        <v>201</v>
      </c>
      <c r="G48" s="10" t="s">
        <v>254</v>
      </c>
      <c r="H48" s="9" t="s">
        <v>286</v>
      </c>
      <c r="I48" s="10" t="s">
        <v>323</v>
      </c>
      <c r="J48" s="9">
        <v>10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16</v>
      </c>
      <c r="D49" s="7" t="s">
        <v>71</v>
      </c>
      <c r="E49" s="8" t="s">
        <v>146</v>
      </c>
      <c r="F49" s="7" t="s">
        <v>201</v>
      </c>
      <c r="G49" s="8" t="s">
        <v>255</v>
      </c>
      <c r="H49" s="7" t="s">
        <v>286</v>
      </c>
      <c r="I49" s="8" t="s">
        <v>324</v>
      </c>
      <c r="J49" s="7">
        <v>2</v>
      </c>
      <c r="K49" s="7"/>
    </row>
    <row r="50" spans="1:11" ht="15.75" thickBot="1" x14ac:dyDescent="0.3">
      <c r="A50" s="1"/>
      <c r="B50" s="11">
        <f t="shared" si="0"/>
        <v>48</v>
      </c>
      <c r="C50" s="12" t="s">
        <v>16</v>
      </c>
      <c r="D50" s="9" t="s">
        <v>72</v>
      </c>
      <c r="E50" s="10" t="s">
        <v>147</v>
      </c>
      <c r="F50" s="9" t="s">
        <v>201</v>
      </c>
      <c r="G50" s="10" t="s">
        <v>256</v>
      </c>
      <c r="H50" s="9" t="s">
        <v>286</v>
      </c>
      <c r="I50" s="10" t="s">
        <v>325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16</v>
      </c>
      <c r="D51" s="7" t="s">
        <v>73</v>
      </c>
      <c r="E51" s="8" t="s">
        <v>148</v>
      </c>
      <c r="F51" s="7" t="s">
        <v>201</v>
      </c>
      <c r="G51" s="8" t="s">
        <v>257</v>
      </c>
      <c r="H51" s="7" t="s">
        <v>286</v>
      </c>
      <c r="I51" s="8" t="s">
        <v>326</v>
      </c>
      <c r="J51" s="7">
        <v>2</v>
      </c>
      <c r="K51" s="7"/>
    </row>
    <row r="52" spans="1:11" ht="15.75" thickBot="1" x14ac:dyDescent="0.3">
      <c r="A52" s="1"/>
      <c r="B52" s="11">
        <f t="shared" si="0"/>
        <v>50</v>
      </c>
      <c r="C52" s="12" t="s">
        <v>16</v>
      </c>
      <c r="D52" s="9" t="s">
        <v>74</v>
      </c>
      <c r="E52" s="10" t="s">
        <v>149</v>
      </c>
      <c r="F52" s="9" t="s">
        <v>201</v>
      </c>
      <c r="G52" s="10" t="s">
        <v>258</v>
      </c>
      <c r="H52" s="9" t="s">
        <v>286</v>
      </c>
      <c r="I52" s="10" t="s">
        <v>327</v>
      </c>
      <c r="J52" s="9">
        <v>2</v>
      </c>
      <c r="K52" s="9"/>
    </row>
    <row r="53" spans="1:11" ht="72.75" thickBot="1" x14ac:dyDescent="0.3">
      <c r="A53" s="1"/>
      <c r="B53" s="11">
        <f>ROW(B53) - ROW($B$2)</f>
        <v>51</v>
      </c>
      <c r="C53" s="12" t="s">
        <v>16</v>
      </c>
      <c r="D53" s="7" t="s">
        <v>75</v>
      </c>
      <c r="E53" s="8" t="s">
        <v>150</v>
      </c>
      <c r="F53" s="7" t="s">
        <v>201</v>
      </c>
      <c r="G53" s="8" t="s">
        <v>259</v>
      </c>
      <c r="H53" s="7" t="s">
        <v>286</v>
      </c>
      <c r="I53" s="8" t="s">
        <v>328</v>
      </c>
      <c r="J53" s="7">
        <v>48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16</v>
      </c>
      <c r="D54" s="9" t="s">
        <v>76</v>
      </c>
      <c r="E54" s="10" t="s">
        <v>151</v>
      </c>
      <c r="F54" s="9" t="s">
        <v>202</v>
      </c>
      <c r="G54" s="10" t="s">
        <v>260</v>
      </c>
      <c r="H54" s="9" t="s">
        <v>286</v>
      </c>
      <c r="I54" s="10" t="s">
        <v>329</v>
      </c>
      <c r="J54" s="9">
        <v>2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16</v>
      </c>
      <c r="D55" s="7" t="s">
        <v>77</v>
      </c>
      <c r="E55" s="8" t="s">
        <v>152</v>
      </c>
      <c r="F55" s="7" t="s">
        <v>201</v>
      </c>
      <c r="G55" s="8" t="s">
        <v>261</v>
      </c>
      <c r="H55" s="7" t="s">
        <v>286</v>
      </c>
      <c r="I55" s="8" t="s">
        <v>330</v>
      </c>
      <c r="J55" s="7">
        <v>7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16</v>
      </c>
      <c r="D56" s="9" t="s">
        <v>78</v>
      </c>
      <c r="E56" s="10" t="s">
        <v>153</v>
      </c>
      <c r="F56" s="9" t="s">
        <v>201</v>
      </c>
      <c r="G56" s="10" t="s">
        <v>262</v>
      </c>
      <c r="H56" s="9" t="s">
        <v>286</v>
      </c>
      <c r="I56" s="10" t="s">
        <v>331</v>
      </c>
      <c r="J56" s="9">
        <v>7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16</v>
      </c>
      <c r="D57" s="7" t="s">
        <v>79</v>
      </c>
      <c r="E57" s="8" t="s">
        <v>154</v>
      </c>
      <c r="F57" s="7" t="s">
        <v>201</v>
      </c>
      <c r="G57" s="8" t="s">
        <v>263</v>
      </c>
      <c r="H57" s="7" t="s">
        <v>286</v>
      </c>
      <c r="I57" s="8" t="s">
        <v>332</v>
      </c>
      <c r="J57" s="7">
        <v>14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17</v>
      </c>
      <c r="D58" s="9" t="s">
        <v>80</v>
      </c>
      <c r="E58" s="10" t="s">
        <v>155</v>
      </c>
      <c r="F58" s="9" t="s">
        <v>203</v>
      </c>
      <c r="G58" s="10" t="s">
        <v>264</v>
      </c>
      <c r="H58" s="9" t="s">
        <v>286</v>
      </c>
      <c r="I58" s="10" t="s">
        <v>331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17</v>
      </c>
      <c r="D59" s="7" t="s">
        <v>81</v>
      </c>
      <c r="E59" s="8" t="s">
        <v>156</v>
      </c>
      <c r="F59" s="7" t="s">
        <v>203</v>
      </c>
      <c r="G59" s="8" t="s">
        <v>265</v>
      </c>
      <c r="H59" s="7" t="s">
        <v>286</v>
      </c>
      <c r="I59" s="8" t="s">
        <v>333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16</v>
      </c>
      <c r="D60" s="9" t="s">
        <v>82</v>
      </c>
      <c r="E60" s="10" t="s">
        <v>157</v>
      </c>
      <c r="F60" s="9" t="s">
        <v>202</v>
      </c>
      <c r="G60" s="10" t="s">
        <v>266</v>
      </c>
      <c r="H60" s="9" t="s">
        <v>286</v>
      </c>
      <c r="I60" s="10" t="s">
        <v>334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16</v>
      </c>
      <c r="D61" s="7" t="s">
        <v>83</v>
      </c>
      <c r="E61" s="8" t="s">
        <v>158</v>
      </c>
      <c r="F61" s="7" t="s">
        <v>201</v>
      </c>
      <c r="G61" s="8" t="s">
        <v>267</v>
      </c>
      <c r="H61" s="7" t="s">
        <v>286</v>
      </c>
      <c r="I61" s="8" t="s">
        <v>335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16</v>
      </c>
      <c r="D62" s="9" t="s">
        <v>84</v>
      </c>
      <c r="E62" s="10" t="s">
        <v>159</v>
      </c>
      <c r="F62" s="9" t="s">
        <v>202</v>
      </c>
      <c r="G62" s="10" t="s">
        <v>268</v>
      </c>
      <c r="H62" s="9" t="s">
        <v>286</v>
      </c>
      <c r="I62" s="10" t="s">
        <v>323</v>
      </c>
      <c r="J62" s="9">
        <v>2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16</v>
      </c>
      <c r="D63" s="15" t="s">
        <v>85</v>
      </c>
      <c r="E63" s="16" t="s">
        <v>160</v>
      </c>
      <c r="F63" s="15" t="s">
        <v>202</v>
      </c>
      <c r="G63" s="16" t="s">
        <v>269</v>
      </c>
      <c r="H63" s="15" t="s">
        <v>286</v>
      </c>
      <c r="I63" s="16" t="s">
        <v>336</v>
      </c>
      <c r="J63" s="15">
        <v>2</v>
      </c>
      <c r="K63" s="17" t="s">
        <v>343</v>
      </c>
    </row>
    <row r="64" spans="1:11" ht="15.75" thickBot="1" x14ac:dyDescent="0.3">
      <c r="A64" s="1"/>
      <c r="B64" s="11">
        <f t="shared" si="0"/>
        <v>62</v>
      </c>
      <c r="C64" s="13" t="s">
        <v>18</v>
      </c>
      <c r="D64" s="9" t="s">
        <v>86</v>
      </c>
      <c r="E64" s="10" t="s">
        <v>161</v>
      </c>
      <c r="F64" s="9" t="s">
        <v>346</v>
      </c>
      <c r="G64" s="10" t="s">
        <v>204</v>
      </c>
      <c r="H64" s="9" t="s">
        <v>308</v>
      </c>
      <c r="I64" s="10" t="s">
        <v>342</v>
      </c>
      <c r="J64" s="9">
        <v>2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19</v>
      </c>
      <c r="D65" s="7" t="s">
        <v>87</v>
      </c>
      <c r="E65" s="8" t="s">
        <v>162</v>
      </c>
      <c r="F65" s="9" t="s">
        <v>346</v>
      </c>
      <c r="G65" s="8" t="s">
        <v>205</v>
      </c>
      <c r="H65" s="7" t="s">
        <v>309</v>
      </c>
      <c r="I65" s="10" t="s">
        <v>342</v>
      </c>
      <c r="J65" s="7">
        <v>1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20</v>
      </c>
      <c r="D66" s="9" t="s">
        <v>88</v>
      </c>
      <c r="E66" s="10" t="s">
        <v>163</v>
      </c>
      <c r="F66" s="9" t="s">
        <v>206</v>
      </c>
      <c r="G66" s="10" t="s">
        <v>270</v>
      </c>
      <c r="H66" s="9" t="s">
        <v>7</v>
      </c>
      <c r="I66" s="10" t="s">
        <v>342</v>
      </c>
      <c r="J66" s="9">
        <v>1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20</v>
      </c>
      <c r="D67" s="7" t="s">
        <v>89</v>
      </c>
      <c r="E67" s="8" t="s">
        <v>164</v>
      </c>
      <c r="F67" s="7" t="s">
        <v>207</v>
      </c>
      <c r="G67" s="8" t="s">
        <v>271</v>
      </c>
      <c r="H67" s="7" t="s">
        <v>295</v>
      </c>
      <c r="I67" s="10" t="s">
        <v>342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21</v>
      </c>
      <c r="D68" s="9" t="s">
        <v>90</v>
      </c>
      <c r="E68" s="10" t="s">
        <v>165</v>
      </c>
      <c r="F68" s="9" t="s">
        <v>208</v>
      </c>
      <c r="G68" s="10" t="s">
        <v>272</v>
      </c>
      <c r="H68" s="9" t="s">
        <v>295</v>
      </c>
      <c r="I68" s="10" t="s">
        <v>342</v>
      </c>
      <c r="J68" s="9">
        <v>1</v>
      </c>
      <c r="K68" s="9"/>
    </row>
    <row r="69" spans="1:11" ht="36.75" thickBot="1" x14ac:dyDescent="0.3">
      <c r="A69" s="1"/>
      <c r="B69" s="11">
        <f>ROW(B69) - ROW($B$2)</f>
        <v>67</v>
      </c>
      <c r="C69" s="12" t="s">
        <v>4</v>
      </c>
      <c r="D69" s="7" t="s">
        <v>91</v>
      </c>
      <c r="E69" s="8" t="s">
        <v>166</v>
      </c>
      <c r="F69" s="7" t="s">
        <v>209</v>
      </c>
      <c r="G69" s="8" t="s">
        <v>273</v>
      </c>
      <c r="H69" s="7" t="s">
        <v>310</v>
      </c>
      <c r="I69" s="10" t="s">
        <v>342</v>
      </c>
      <c r="J69" s="7">
        <v>1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20</v>
      </c>
      <c r="D70" s="9" t="s">
        <v>92</v>
      </c>
      <c r="E70" s="10" t="s">
        <v>167</v>
      </c>
      <c r="F70" s="9" t="s">
        <v>210</v>
      </c>
      <c r="G70" s="10" t="s">
        <v>274</v>
      </c>
      <c r="H70" s="9" t="s">
        <v>311</v>
      </c>
      <c r="I70" s="10" t="s">
        <v>342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20</v>
      </c>
      <c r="D71" s="7" t="s">
        <v>93</v>
      </c>
      <c r="E71" s="8" t="s">
        <v>168</v>
      </c>
      <c r="F71" s="7" t="s">
        <v>211</v>
      </c>
      <c r="G71" s="8" t="s">
        <v>275</v>
      </c>
      <c r="H71" s="7" t="s">
        <v>311</v>
      </c>
      <c r="I71" s="10" t="s">
        <v>342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20</v>
      </c>
      <c r="D72" s="9" t="s">
        <v>94</v>
      </c>
      <c r="E72" s="10" t="s">
        <v>169</v>
      </c>
      <c r="F72" s="9" t="s">
        <v>212</v>
      </c>
      <c r="G72" s="10" t="s">
        <v>276</v>
      </c>
      <c r="H72" s="9" t="s">
        <v>311</v>
      </c>
      <c r="I72" s="10" t="s">
        <v>342</v>
      </c>
      <c r="J72" s="9">
        <v>2</v>
      </c>
      <c r="K72" s="9"/>
    </row>
    <row r="73" spans="1:11" ht="24.75" thickBot="1" x14ac:dyDescent="0.3">
      <c r="A73" s="1"/>
      <c r="B73" s="11">
        <f>ROW(B73) - ROW($B$2)</f>
        <v>71</v>
      </c>
      <c r="C73" s="12" t="s">
        <v>22</v>
      </c>
      <c r="D73" s="7" t="s">
        <v>95</v>
      </c>
      <c r="E73" s="8" t="s">
        <v>170</v>
      </c>
      <c r="F73" s="7" t="s">
        <v>213</v>
      </c>
      <c r="G73" s="8" t="s">
        <v>277</v>
      </c>
      <c r="H73" s="7" t="s">
        <v>293</v>
      </c>
      <c r="I73" s="10" t="s">
        <v>342</v>
      </c>
      <c r="J73" s="7">
        <v>15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20</v>
      </c>
      <c r="D74" s="9" t="s">
        <v>96</v>
      </c>
      <c r="E74" s="10" t="s">
        <v>171</v>
      </c>
      <c r="F74" s="9" t="s">
        <v>214</v>
      </c>
      <c r="G74" s="10" t="s">
        <v>278</v>
      </c>
      <c r="H74" s="9" t="s">
        <v>311</v>
      </c>
      <c r="I74" s="10" t="s">
        <v>342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20</v>
      </c>
      <c r="D75" s="7" t="s">
        <v>97</v>
      </c>
      <c r="E75" s="8" t="s">
        <v>172</v>
      </c>
      <c r="F75" s="7" t="s">
        <v>215</v>
      </c>
      <c r="G75" s="8" t="s">
        <v>279</v>
      </c>
      <c r="H75" s="7" t="s">
        <v>311</v>
      </c>
      <c r="I75" s="10" t="s">
        <v>342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20</v>
      </c>
      <c r="D76" s="9" t="s">
        <v>98</v>
      </c>
      <c r="E76" s="10" t="s">
        <v>173</v>
      </c>
      <c r="F76" s="9" t="s">
        <v>210</v>
      </c>
      <c r="G76" s="10" t="s">
        <v>280</v>
      </c>
      <c r="H76" s="9" t="s">
        <v>311</v>
      </c>
      <c r="I76" s="10" t="s">
        <v>342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23</v>
      </c>
      <c r="D77" s="7" t="s">
        <v>99</v>
      </c>
      <c r="E77" s="8" t="s">
        <v>174</v>
      </c>
      <c r="F77" s="7" t="s">
        <v>216</v>
      </c>
      <c r="G77" s="8" t="s">
        <v>281</v>
      </c>
      <c r="H77" s="7" t="s">
        <v>312</v>
      </c>
      <c r="I77" s="8" t="s">
        <v>337</v>
      </c>
      <c r="J77" s="7">
        <v>1</v>
      </c>
      <c r="K7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2025-03-28T07:12:01Z</dcterms:modified>
</cp:coreProperties>
</file>