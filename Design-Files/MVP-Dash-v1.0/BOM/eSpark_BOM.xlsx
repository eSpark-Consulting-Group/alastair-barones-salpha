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MVP-Dash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M185" i="1" l="1"/>
  <c r="B185" i="1" l="1"/>
  <c r="M147" i="1" l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19" i="1"/>
  <c r="Q184" i="1" l="1"/>
  <c r="M184" i="1"/>
  <c r="B184" i="1"/>
  <c r="Q183" i="1"/>
  <c r="M183" i="1"/>
  <c r="B183" i="1"/>
  <c r="Q182" i="1"/>
  <c r="B182" i="1"/>
  <c r="Q181" i="1"/>
  <c r="B181" i="1"/>
  <c r="Q180" i="1"/>
  <c r="B180" i="1"/>
  <c r="Q179" i="1"/>
  <c r="B179" i="1"/>
  <c r="Q178" i="1"/>
  <c r="B178" i="1"/>
  <c r="Q177" i="1"/>
  <c r="B177" i="1"/>
  <c r="Q176" i="1"/>
  <c r="B176" i="1"/>
  <c r="Q175" i="1"/>
  <c r="B175" i="1"/>
  <c r="Q174" i="1"/>
  <c r="B174" i="1"/>
  <c r="Q173" i="1"/>
  <c r="B173" i="1"/>
  <c r="Q172" i="1"/>
  <c r="B172" i="1"/>
  <c r="Q171" i="1"/>
  <c r="B171" i="1"/>
  <c r="Q170" i="1"/>
  <c r="B170" i="1"/>
  <c r="Q169" i="1"/>
  <c r="B169" i="1"/>
  <c r="Q168" i="1"/>
  <c r="B168" i="1"/>
  <c r="Q167" i="1"/>
  <c r="B167" i="1"/>
  <c r="Q166" i="1"/>
  <c r="B166" i="1"/>
  <c r="Q165" i="1"/>
  <c r="B165" i="1"/>
  <c r="Q164" i="1"/>
  <c r="B164" i="1"/>
  <c r="Q163" i="1"/>
  <c r="B163" i="1"/>
  <c r="Q162" i="1"/>
  <c r="B162" i="1"/>
  <c r="Q161" i="1"/>
  <c r="B161" i="1"/>
  <c r="Q160" i="1"/>
  <c r="B160" i="1"/>
  <c r="Q159" i="1"/>
  <c r="B159" i="1"/>
  <c r="Q158" i="1"/>
  <c r="B158" i="1"/>
  <c r="Q157" i="1"/>
  <c r="B157" i="1"/>
  <c r="Q156" i="1"/>
  <c r="B156" i="1"/>
  <c r="Q155" i="1"/>
  <c r="B155" i="1"/>
  <c r="Q154" i="1"/>
  <c r="B154" i="1"/>
  <c r="Q153" i="1"/>
  <c r="B153" i="1"/>
  <c r="Q152" i="1"/>
  <c r="B152" i="1"/>
  <c r="Q151" i="1"/>
  <c r="B151" i="1"/>
  <c r="Q150" i="1"/>
  <c r="B150" i="1"/>
  <c r="Q149" i="1"/>
  <c r="B149" i="1"/>
  <c r="Q148" i="1"/>
  <c r="B148" i="1"/>
  <c r="Q147" i="1"/>
  <c r="B147" i="1"/>
  <c r="Q146" i="1"/>
  <c r="M146" i="1"/>
  <c r="B146" i="1"/>
  <c r="Q145" i="1"/>
  <c r="M145" i="1"/>
  <c r="B145" i="1"/>
  <c r="Q144" i="1"/>
  <c r="M144" i="1"/>
  <c r="B144" i="1"/>
  <c r="Q143" i="1"/>
  <c r="M143" i="1"/>
  <c r="B143" i="1"/>
  <c r="Q142" i="1"/>
  <c r="M142" i="1"/>
  <c r="B142" i="1"/>
  <c r="Q141" i="1"/>
  <c r="M141" i="1"/>
  <c r="B141" i="1"/>
  <c r="Q140" i="1"/>
  <c r="M140" i="1"/>
  <c r="B140" i="1"/>
  <c r="Q139" i="1"/>
  <c r="M139" i="1"/>
  <c r="B139" i="1"/>
  <c r="Q138" i="1"/>
  <c r="M138" i="1"/>
  <c r="B138" i="1"/>
  <c r="Q137" i="1"/>
  <c r="M137" i="1"/>
  <c r="B137" i="1"/>
  <c r="Q136" i="1"/>
  <c r="M136" i="1"/>
  <c r="B136" i="1"/>
  <c r="Q135" i="1"/>
  <c r="M135" i="1"/>
  <c r="B135" i="1"/>
  <c r="Q134" i="1"/>
  <c r="M134" i="1"/>
  <c r="B134" i="1"/>
  <c r="Q133" i="1"/>
  <c r="M133" i="1"/>
  <c r="B133" i="1"/>
  <c r="Q132" i="1"/>
  <c r="M132" i="1"/>
  <c r="B132" i="1"/>
  <c r="Q131" i="1"/>
  <c r="M131" i="1"/>
  <c r="B131" i="1"/>
  <c r="Q130" i="1"/>
  <c r="M130" i="1"/>
  <c r="B130" i="1"/>
  <c r="M129" i="1"/>
  <c r="B129" i="1"/>
  <c r="Q128" i="1"/>
  <c r="M128" i="1"/>
  <c r="B128" i="1"/>
  <c r="Q127" i="1"/>
  <c r="M127" i="1"/>
  <c r="B127" i="1"/>
  <c r="Q126" i="1"/>
  <c r="M126" i="1"/>
  <c r="B126" i="1"/>
  <c r="Q125" i="1"/>
  <c r="M125" i="1"/>
  <c r="B125" i="1"/>
  <c r="Q124" i="1"/>
  <c r="M124" i="1"/>
  <c r="B124" i="1"/>
  <c r="Q123" i="1"/>
  <c r="M123" i="1"/>
  <c r="B123" i="1"/>
  <c r="Q122" i="1"/>
  <c r="M122" i="1"/>
  <c r="B122" i="1"/>
  <c r="Q121" i="1"/>
  <c r="M121" i="1"/>
  <c r="B121" i="1"/>
  <c r="Q120" i="1"/>
  <c r="M120" i="1"/>
  <c r="B120" i="1"/>
  <c r="B119" i="1"/>
  <c r="Q118" i="1"/>
  <c r="M118" i="1"/>
  <c r="B118" i="1"/>
  <c r="Q117" i="1"/>
  <c r="M117" i="1"/>
  <c r="B117" i="1"/>
  <c r="Q116" i="1"/>
  <c r="M116" i="1"/>
  <c r="B116" i="1"/>
  <c r="Q115" i="1"/>
  <c r="M115" i="1"/>
  <c r="B115" i="1"/>
  <c r="Q114" i="1"/>
  <c r="M114" i="1"/>
  <c r="B114" i="1"/>
  <c r="Q113" i="1"/>
  <c r="M113" i="1"/>
  <c r="B113" i="1"/>
  <c r="Q112" i="1"/>
  <c r="M112" i="1"/>
  <c r="B112" i="1"/>
  <c r="Q111" i="1"/>
  <c r="M111" i="1"/>
  <c r="B111" i="1"/>
  <c r="Q110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 l="1"/>
  <c r="Q8" i="1"/>
  <c r="Q186" i="1" s="1"/>
  <c r="Q187" i="1" s="1"/>
  <c r="M9" i="1"/>
  <c r="M8" i="1"/>
  <c r="B9" i="1"/>
  <c r="B8" i="1"/>
</calcChain>
</file>

<file path=xl/sharedStrings.xml><?xml version="1.0" encoding="utf-8"?>
<sst xmlns="http://schemas.openxmlformats.org/spreadsheetml/2006/main" count="1825" uniqueCount="937">
  <si>
    <t>Component list</t>
  </si>
  <si>
    <t>Project:</t>
  </si>
  <si>
    <t>#</t>
  </si>
  <si>
    <t xml:space="preserve">Total Component Cost </t>
  </si>
  <si>
    <t>Single Board Cost</t>
  </si>
  <si>
    <t>Item Type</t>
  </si>
  <si>
    <t>RF Antennas</t>
  </si>
  <si>
    <t>LNA</t>
  </si>
  <si>
    <t>Antenna</t>
  </si>
  <si>
    <t>Capacitor</t>
  </si>
  <si>
    <t>Capacitors</t>
  </si>
  <si>
    <t>Diode</t>
  </si>
  <si>
    <t>Zener Diode</t>
  </si>
  <si>
    <t>TVS Diode</t>
  </si>
  <si>
    <t>Fuse</t>
  </si>
  <si>
    <t>Ferrite Bead</t>
  </si>
  <si>
    <t>Male Header</t>
  </si>
  <si>
    <t>Connector</t>
  </si>
  <si>
    <t>Pogo Connector</t>
  </si>
  <si>
    <t>SD Card Connector</t>
  </si>
  <si>
    <t>FFC / FPC Connector</t>
  </si>
  <si>
    <t>Type-C SMD USB Connector</t>
  </si>
  <si>
    <t>Battery Connector</t>
  </si>
  <si>
    <t>Automobile Connector</t>
  </si>
  <si>
    <t>Power Relays</t>
  </si>
  <si>
    <t>Inductor</t>
  </si>
  <si>
    <t>Common Mode Filter</t>
  </si>
  <si>
    <t>LED</t>
  </si>
  <si>
    <t>Transistor</t>
  </si>
  <si>
    <t>MOSFET</t>
  </si>
  <si>
    <t>Resistor</t>
  </si>
  <si>
    <t>Resistors</t>
  </si>
  <si>
    <t>Potentiometer</t>
  </si>
  <si>
    <t>Switch</t>
  </si>
  <si>
    <t>IC</t>
  </si>
  <si>
    <t>USB Interface ICs</t>
  </si>
  <si>
    <t>Crystal</t>
  </si>
  <si>
    <t>Designator</t>
  </si>
  <si>
    <t>Ant1</t>
  </si>
  <si>
    <t>Ant2</t>
  </si>
  <si>
    <t>Ant3</t>
  </si>
  <si>
    <t>C1, C2, C7, C10, C23, C26, C305, C306</t>
  </si>
  <si>
    <t>C3, C5, C8, C11, C12, C13, C19, C22, C24, C25, C27, C31, C264, C265, C301</t>
  </si>
  <si>
    <t>C4</t>
  </si>
  <si>
    <t>C6, C9</t>
  </si>
  <si>
    <t>C14, C21</t>
  </si>
  <si>
    <t>C15, C28</t>
  </si>
  <si>
    <t>C16</t>
  </si>
  <si>
    <t>C17, C18, C29, C30, C43, C81, C193, C288</t>
  </si>
  <si>
    <t>C20, C83, C191, C192, C286, C287</t>
  </si>
  <si>
    <t>C32, C33, C38, C39, C45, C46, C52, C53, C55, C56, C66, C77, C80, C196</t>
  </si>
  <si>
    <t>C34, C35, C44, C47, C49, C54, C82, C88, C194, C203, C206, C207, C208, C209, C210, C211, C212, C213, C214, C215, C217, C218, C219, C220, C221, C222, C223, C224, C225, C226, C227, C228, C229, C232, C233, C234, C235, C236, C237, C239, C240, C241, C242, C243, C244, C245, C246, C247, C248, C249, C250, C253, C254, C256, C257, C258, C261, C263, C271, C276, C279, C289, C303, C307, C314, C315</t>
  </si>
  <si>
    <t>C36, C37, C50, C51, C78, C79, C84, C85, C86, C95, C96, C98, C99, C100, C101, C102, C103, C104, C197, C198, C216</t>
  </si>
  <si>
    <t>C40, C41</t>
  </si>
  <si>
    <t>C42, C87, C255, C259</t>
  </si>
  <si>
    <t>C48, C57, C59, C60, C62, C63, C64, C65, C67, C68, C69, C71, C72, C73, C74, C75, C76, C119, C120, C121, C122, C132, C152, C153, C166, C167, C169, C173, C175, C176, C177, C183, C185, C188, C190, C204, C205, C272, C274, C281, C290, C295</t>
  </si>
  <si>
    <t>C58, C61, C252</t>
  </si>
  <si>
    <t>C70, C92, C93, C94, C112, C113, C114, C115, C117, C139, C142, C148, C149, C182, C184</t>
  </si>
  <si>
    <t>C89, C90, C91, C108, C109, C110, C111, C124, C125, C126, C127, C128, C129, C130, C131, C133, C134, C135, C136, C137, C138, C140, C141, C143, C144, C145, C146, C147, C150, C151, C154, C155, C164, C165, C168, C170, C171, C172, C174, C178, C179, C180, C181, C186, C187, C189, C251, C282, C283, C284, C285, C291, C292, C293, C294</t>
  </si>
  <si>
    <t>C97</t>
  </si>
  <si>
    <t>C105, C106, C107, C116, C199, C200, C201, C202, C230, C231, C260, C270, C278</t>
  </si>
  <si>
    <t>C118, C123</t>
  </si>
  <si>
    <t>C156, C157, C158, C159, C160, C161, C162, C163, C195</t>
  </si>
  <si>
    <t>C238</t>
  </si>
  <si>
    <t>C262, C266, C297</t>
  </si>
  <si>
    <t>C267</t>
  </si>
  <si>
    <t>C268, C269, C296</t>
  </si>
  <si>
    <t>C273, C275</t>
  </si>
  <si>
    <t>C277</t>
  </si>
  <si>
    <t>C280</t>
  </si>
  <si>
    <t>C298</t>
  </si>
  <si>
    <t>C299</t>
  </si>
  <si>
    <t>C300</t>
  </si>
  <si>
    <t>C302</t>
  </si>
  <si>
    <t>C304</t>
  </si>
  <si>
    <t>C308</t>
  </si>
  <si>
    <t>C309</t>
  </si>
  <si>
    <t>C310, C311</t>
  </si>
  <si>
    <t>C312, C313</t>
  </si>
  <si>
    <t>D1</t>
  </si>
  <si>
    <t>D2, D3, D6, D7, D8, D9, D10, D11, D31</t>
  </si>
  <si>
    <t>D4</t>
  </si>
  <si>
    <t>D5, D24</t>
  </si>
  <si>
    <t>D12, D17, D29, D30</t>
  </si>
  <si>
    <t>D13, D33</t>
  </si>
  <si>
    <t>D14, D15, D16, D18</t>
  </si>
  <si>
    <t>D19</t>
  </si>
  <si>
    <t>D20, D21, D22, D23, D25, D26, D27, D28</t>
  </si>
  <si>
    <t>D32</t>
  </si>
  <si>
    <t>D34</t>
  </si>
  <si>
    <t>D35</t>
  </si>
  <si>
    <t>D36</t>
  </si>
  <si>
    <t>D37, D38, D39, D40, D41</t>
  </si>
  <si>
    <t>F1</t>
  </si>
  <si>
    <t>FB1</t>
  </si>
  <si>
    <t>FB2</t>
  </si>
  <si>
    <t>FB3, FB4</t>
  </si>
  <si>
    <t>J1, 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</si>
  <si>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</si>
  <si>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</si>
  <si>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</si>
  <si>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</si>
  <si>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</si>
  <si>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</si>
  <si>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</si>
  <si>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</si>
  <si>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</si>
  <si>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K1</t>
  </si>
  <si>
    <t>L1</t>
  </si>
  <si>
    <t>L2, L3</t>
  </si>
  <si>
    <t>L4, L5, L6, L7, L8</t>
  </si>
  <si>
    <t>L9</t>
  </si>
  <si>
    <t>L10</t>
  </si>
  <si>
    <t>L11</t>
  </si>
  <si>
    <t>L12</t>
  </si>
  <si>
    <t>L13</t>
  </si>
  <si>
    <t>L14</t>
  </si>
  <si>
    <t>LED1</t>
  </si>
  <si>
    <t>LED2, LED6, LED7</t>
  </si>
  <si>
    <t>LED3, LED8, LED9</t>
  </si>
  <si>
    <t>LED4, LED5</t>
  </si>
  <si>
    <t>LED10, LED11</t>
  </si>
  <si>
    <t>Q1, Q2</t>
  </si>
  <si>
    <t>Q3, Q4, Q5, Q6</t>
  </si>
  <si>
    <t>R1, R123, R189, R205, R206, R207, R208, R213, R214, R215, R216, R233</t>
  </si>
  <si>
    <t>R2</t>
  </si>
  <si>
    <t>R3</t>
  </si>
  <si>
    <t>R4, R5, R14, R17, R23, R30, R31, R39, R42, R52, R59, R60, R61, R62, R63, R64, R65, R66, R84, R89, R94, R97, R105, R106, R107, R108, R109, R117, R118, R119, R120, R121, R131, R132, R143, R152, R153, R163, R165, R167, R178, R198, R200, R204, R209, R210, R211, R212, R217, R218, R219, R220, R221, R222, R223, R228, R229, R230, R231, R232, R234</t>
  </si>
  <si>
    <t>R6, R50, R85, R90, R95, R99, R126, R164, R186</t>
  </si>
  <si>
    <t>R7, R15</t>
  </si>
  <si>
    <t>R8, R16</t>
  </si>
  <si>
    <t>R9</t>
  </si>
  <si>
    <t>R10</t>
  </si>
  <si>
    <t>R11</t>
  </si>
  <si>
    <t>R12, R13</t>
  </si>
  <si>
    <t>R18, R19, R29, R32, R36, R91, R92, R93, R96, R187</t>
  </si>
  <si>
    <t>R20</t>
  </si>
  <si>
    <t>R21</t>
  </si>
  <si>
    <t>R22, R24, R25, R26, R35, R41, R53, R54, R55, R98, R110, R111, R112, R113, R114, R115, R144, R145, R146, R147, R148, R149, R159, R160, R161, R162</t>
  </si>
  <si>
    <t>R27</t>
  </si>
  <si>
    <t>R28</t>
  </si>
  <si>
    <t>R33, R37, R45, R56, R104, R133, R140, R188, R190, R191</t>
  </si>
  <si>
    <t>R34</t>
  </si>
  <si>
    <t>R38</t>
  </si>
  <si>
    <t>R40, R44, R58, R68</t>
  </si>
  <si>
    <t>R43</t>
  </si>
  <si>
    <t>R46, R47, R48, R49, R69, R70, R80, R81, R82, R83</t>
  </si>
  <si>
    <t>R51, R166</t>
  </si>
  <si>
    <t>R57</t>
  </si>
  <si>
    <t>R67</t>
  </si>
  <si>
    <t>R71, R72, R73, R74, R75, R76, R77, R78, R87, R88</t>
  </si>
  <si>
    <t>R79</t>
  </si>
  <si>
    <t>R86</t>
  </si>
  <si>
    <t>R100</t>
  </si>
  <si>
    <t>R101</t>
  </si>
  <si>
    <t>R102, R103</t>
  </si>
  <si>
    <t>R116, R127, R177</t>
  </si>
  <si>
    <t>R122</t>
  </si>
  <si>
    <t>R124, R125</t>
  </si>
  <si>
    <t>R128</t>
  </si>
  <si>
    <t>R129</t>
  </si>
  <si>
    <t>R130</t>
  </si>
  <si>
    <t>R134</t>
  </si>
  <si>
    <t>R135, R136, R137, R138, R139</t>
  </si>
  <si>
    <t>R141, R142</t>
  </si>
  <si>
    <t>R150, R151</t>
  </si>
  <si>
    <t>R154, R155, R156, R157, R158</t>
  </si>
  <si>
    <t>R168</t>
  </si>
  <si>
    <t>R169, R170, R171, R172, R173, R174, R175, R176</t>
  </si>
  <si>
    <t>R179</t>
  </si>
  <si>
    <t>R180, R197</t>
  </si>
  <si>
    <t>R181, R199</t>
  </si>
  <si>
    <t>R182</t>
  </si>
  <si>
    <t>R183</t>
  </si>
  <si>
    <t>R184</t>
  </si>
  <si>
    <t>R185</t>
  </si>
  <si>
    <t>R192, R195</t>
  </si>
  <si>
    <t>R193</t>
  </si>
  <si>
    <t>R194</t>
  </si>
  <si>
    <t>R196</t>
  </si>
  <si>
    <t>R201</t>
  </si>
  <si>
    <t>R202</t>
  </si>
  <si>
    <t>R203</t>
  </si>
  <si>
    <t>R224, R225</t>
  </si>
  <si>
    <t>R226</t>
  </si>
  <si>
    <t>R227</t>
  </si>
  <si>
    <t>SW1, SW2, SW3, SW4, SW5</t>
  </si>
  <si>
    <t>U1, U26, U27, U28, U29, U30, U31, U32, U33, U36</t>
  </si>
  <si>
    <t>U2</t>
  </si>
  <si>
    <t>U3, U5</t>
  </si>
  <si>
    <t>U4</t>
  </si>
  <si>
    <t>U6</t>
  </si>
  <si>
    <t>U7</t>
  </si>
  <si>
    <t>U8</t>
  </si>
  <si>
    <t>U9</t>
  </si>
  <si>
    <t>U10, U18</t>
  </si>
  <si>
    <t>U11</t>
  </si>
  <si>
    <t>U12</t>
  </si>
  <si>
    <t>U13</t>
  </si>
  <si>
    <t>U14</t>
  </si>
  <si>
    <t>U15</t>
  </si>
  <si>
    <t>U16</t>
  </si>
  <si>
    <t>U17</t>
  </si>
  <si>
    <t>U19</t>
  </si>
  <si>
    <t>U20</t>
  </si>
  <si>
    <t>U21</t>
  </si>
  <si>
    <t>U22</t>
  </si>
  <si>
    <t>U23</t>
  </si>
  <si>
    <t>U24</t>
  </si>
  <si>
    <t>U25</t>
  </si>
  <si>
    <t>U34</t>
  </si>
  <si>
    <t>U35</t>
  </si>
  <si>
    <t>X1</t>
  </si>
  <si>
    <t>X2</t>
  </si>
  <si>
    <t>X3</t>
  </si>
  <si>
    <t>Description</t>
  </si>
  <si>
    <t>RF ANT 2.4GHZ/5GHZ CHIP SLDR SMD</t>
  </si>
  <si>
    <t>1.4V~3.6V 4.3mA DFN-6(1x1.6) Low Noise Amplifiers (LNA) - RF ROHS</t>
  </si>
  <si>
    <t>GPS passive ceramic antenna, size 18*18*</t>
  </si>
  <si>
    <t>CAP CER 10UF 50V X5R 0805</t>
  </si>
  <si>
    <t>CAP CER 0.1UF 50V X7R 0402</t>
  </si>
  <si>
    <t>CAP CER 2.2UF 50V X5R 0805</t>
  </si>
  <si>
    <t>100uF 50V ±20% SMD,D6.3xL7.7mm Aluminum Electrolytic Capacitors - SMD ROHS</t>
  </si>
  <si>
    <t>CAP CER 1UF 25V X5R 0402</t>
  </si>
  <si>
    <t>CAP CER 56PF 50V C0G/NPO 0402</t>
  </si>
  <si>
    <t>CAP CER 100PF 50V C0G/NPO 0402</t>
  </si>
  <si>
    <t>CAP CER 22UF 10V X5R 0603</t>
  </si>
  <si>
    <t>CAP CER 47UF 25V X5R 1206</t>
  </si>
  <si>
    <t>CAP CER 10UF 10V X5R 0603</t>
  </si>
  <si>
    <t>CAP CER 0.1UF 10V X5R 0402</t>
  </si>
  <si>
    <t>CAP CER 22UF 6.3V X5R 0603</t>
  </si>
  <si>
    <t>CAP CER 18PF 50V C0G/NP0 0402</t>
  </si>
  <si>
    <t>CAP CER 4.7UF 10V X5R 0402</t>
  </si>
  <si>
    <t>CAP CER 1UF 10V X5R 0402</t>
  </si>
  <si>
    <t>CAP CER 2.2UF 6.3V X5R 0402</t>
  </si>
  <si>
    <t>CAP CER 4.7UF 6.3V X5R 0402</t>
  </si>
  <si>
    <t>CAP CER 0.1UF 10V X5R 0201</t>
  </si>
  <si>
    <t>CAP CER 1UF 6.3V X5R 0201</t>
  </si>
  <si>
    <t>CAP CER 10UF 6.3V X5R 0603</t>
  </si>
  <si>
    <t>CAP CER 10PF 50V C0G/NP0 0402</t>
  </si>
  <si>
    <t>CAP CER 1000PF 50V C0G/NP0 0402</t>
  </si>
  <si>
    <t>CAP CER 4700PF 1KV X7R 1206</t>
  </si>
  <si>
    <t>CAP CER 2.2UF 25V X5R 0603</t>
  </si>
  <si>
    <t>CAP CER 1UF 50V X5R 0603</t>
  </si>
  <si>
    <t>CAP CER 12PF 50V C0G/NP0 0402</t>
  </si>
  <si>
    <t>CAP CER 4.7UF 16V X5R 0603</t>
  </si>
  <si>
    <t>CAP CER 10PF 50V C0G/NPO 0603</t>
  </si>
  <si>
    <t>CAP CER 0.22UF 250V X7R 1210</t>
  </si>
  <si>
    <t>1uF 50V 8mA@120Hz ±20% SMD,D4xL5.4mm Aluminum Electrolytic Capacitors - SMD ROHS</t>
  </si>
  <si>
    <t>CAP CER 10000PF 200V X7R 0805</t>
  </si>
  <si>
    <t>CAP ALUM 10uF 25V SMD</t>
  </si>
  <si>
    <t>CAP CER 0.033UF 25V X7R 0402</t>
  </si>
  <si>
    <t>CAP ALUM POLY 10UF 20% 50V SMD</t>
  </si>
  <si>
    <t>CAP CER 100PF 50V C0G/NPO 0603</t>
  </si>
  <si>
    <t>0.5mA@40V 40V Single 3A 0.55V@3A SMA(DO-214AC) Schottky Barrier Diodes (SBD) ROHS</t>
  </si>
  <si>
    <t>DFN1006-2(0402) ESD Protection Devices ROHS</t>
  </si>
  <si>
    <t>30V Dual Common Cathode 1V@100mA 200mA SOT-23(TO-236) Schottky Barrier Diodes (SBD) ROHS</t>
  </si>
  <si>
    <t>DIODE SCHOTTKY 40V 1A SOD123</t>
  </si>
  <si>
    <t>4A@8/20us 15V 7V 5V Unidirectional DFN1006-2L TVS ROHS</t>
  </si>
  <si>
    <t>DIODE SCHOTTKY 40V 1A SOD323</t>
  </si>
  <si>
    <t>4A@8/20us 12V 7V 5V Unidirectional DFN2510-10L TVS ROHS</t>
  </si>
  <si>
    <t>60V 700mV@2A 2A SMA(DO-214AC) Schottky Barrier Diodes (SBD) ROHS</t>
  </si>
  <si>
    <t>DFN0603-D ESD Protection Devices ROHS</t>
  </si>
  <si>
    <t>1A Single 1kV 1.1V@1A SMA(DO-214AC) Diodes - General Purpose ROHS</t>
  </si>
  <si>
    <t>15A@8/20us 9V 5V 3.3V Unidirectional SOD-323 TVS ROHS</t>
  </si>
  <si>
    <t>±5% Single 15.3V~17.1V 500mW 16V SOD-123 Zener Diodes ROHS</t>
  </si>
  <si>
    <t>TVS DIODE 3.3VWM 11.5VC MICROSMP</t>
  </si>
  <si>
    <t>100V 400mW Single 1.25V@150mA 8ns 300mA SOD-123 Switching Diode ROHS</t>
  </si>
  <si>
    <t>24V 3A 40A 6A 1812 Resettable Fuses ROHS</t>
  </si>
  <si>
    <t>Ferrite Beads Multi-Layer 120Ohm 25% 100MHz 2A 50mOhm DCR 0603 Paper T/R</t>
  </si>
  <si>
    <t>0603 180Ω ±25% DCR=0.09Ω 1.5A</t>
  </si>
  <si>
    <t>FERRITE BEAD 1K OHM 0805 1LN</t>
  </si>
  <si>
    <t>Gold 250V 3A Straight Square Pins 2.5mm 2P 260℃ 6mm -40℃~+105℃ 3mm 2.54mm Plugin Black Brass 1x2P Plugin,P=2.54mm Pin Headers ROHS</t>
  </si>
  <si>
    <t>Battery base CR2032 SMD Battery Connectors ROHS</t>
  </si>
  <si>
    <t>Pogo Pad 2.5mm 4 Pin</t>
  </si>
  <si>
    <t>Gold 250V 3A Straight Square Pins 2.5mm 3P 260℃ 6mm -40℃~+105℃ 3mm 2.54mm Plugin Black Brass 1x3P Plugin,P=2.54mm Pin Headers ROHS</t>
  </si>
  <si>
    <t>-45℃~+85℃ 1.4mm Gold Deck MicroSD card (TF card) 260℃ Phosphor coppe Self bomb SMD SD Card Connectors ROHS</t>
  </si>
  <si>
    <t>CONN RCP MICRO HDMI 19POS SMD RA</t>
  </si>
  <si>
    <t>CONN FFC BOTTOM 30POS 0.5MM R/A</t>
  </si>
  <si>
    <t>5A USB 3.1 1 260℃ Brick nogging 24P Female -45℃~+85℃ Type-C SMD USB Connectors ROHS</t>
  </si>
  <si>
    <t>SMD Button And Strip Battery Connector ROHS</t>
  </si>
  <si>
    <t>3 Straight 35P 4mm Tin - Automobile Connectors ROHS</t>
  </si>
  <si>
    <t>RELAY GEN PURPOSE SPST 5A 12V</t>
  </si>
  <si>
    <t>13A 3.3uH Molding Choke ±20% 16A - Power Inductors ROHS</t>
  </si>
  <si>
    <t>8A 4.7uH ±20% SMD,10x10.1mm Power Inductors ROHS</t>
  </si>
  <si>
    <t>4.2A 470nH 合金磁胶电感 ±20% 8A SMD,3x3mm Power Inductors ROHS</t>
  </si>
  <si>
    <t>4.05A 240nH ±20% 19mΩ SMD Power Inductors ROHS</t>
  </si>
  <si>
    <t>Fixed Ind 2.2UH 4.3A 48MOHM SMD</t>
  </si>
  <si>
    <t>590mA 22uH ±20% SMD,4x4x1.8mm Power Inductors ROHS</t>
  </si>
  <si>
    <t>Fixed Ind 3.3UH 2A 66 Mohm SMD</t>
  </si>
  <si>
    <t>90Ω@100MHz 4Ω 2 0302 Common Mode Filters ROHS</t>
  </si>
  <si>
    <t>600mA 6.8nH ±5% 110mΩ 0805 Inductors (SMD) ROHS</t>
  </si>
  <si>
    <t>yellow 0603 Light Emitting Diodes (LED) ROHS</t>
  </si>
  <si>
    <t>RED LED 0603 Light Emitting Diodes</t>
  </si>
  <si>
    <t>Emerald 0603 Light Emitting Diodes (LED) ROHS</t>
  </si>
  <si>
    <t>20mA 100mcd~220mcd 600nm~610nm -30℃~+85℃ Orange 130° 65mW 1.6V~2.6V 0603 Light Emitting Diodes (LED) ROHS</t>
  </si>
  <si>
    <t>blue 0603 Light Emitting Diodes (LED) ROHS</t>
  </si>
  <si>
    <t>Trans Gp Bjt NPN 25V 1.5A 300MW 3-PIN SOT-23 T/r</t>
  </si>
  <si>
    <t>30V 100mA 200mW 8Ω@4V,10mA N Channel SOT-23 MOSFETs ROHS</t>
  </si>
  <si>
    <t>RES 1K OHM 1% 1/16W 0402</t>
  </si>
  <si>
    <t>RES 0 OHM JUMPER 1/8W 0805</t>
  </si>
  <si>
    <t>RES 2 OHM 5% 1/2W 1210</t>
  </si>
  <si>
    <t>RES 10K OHM 1% 1/16W 0402</t>
  </si>
  <si>
    <t>RES 100K OHM 1% 1/16W 0402</t>
  </si>
  <si>
    <t>RES SMD 93.1KOHM 0.1% 1/16W 0402</t>
  </si>
  <si>
    <t>RES SMD 30.1KOHM 0.1% 1/16W 0402</t>
  </si>
  <si>
    <t>RES 20K OHM 1% 1/16W 0402</t>
  </si>
  <si>
    <t>RES SMD 73.2KOHM 0.1% 1/16W 0402</t>
  </si>
  <si>
    <t>RES SMD 10K OHM 0.1% 1/16W 0402</t>
  </si>
  <si>
    <t>RES 0 OHM JUMPER 1/10W 0603</t>
  </si>
  <si>
    <t>RES 100 OHM 1% 1/16W 0402</t>
  </si>
  <si>
    <t>RES 560 OHM 1% 1/16W 0402</t>
  </si>
  <si>
    <t>RES 9.1K OHM 1% 1/16W 0402</t>
  </si>
  <si>
    <t>RES 22 OHM 1% 1/16W 0402</t>
  </si>
  <si>
    <t>RES 51K OHM 0.1% 1/16W 0402</t>
  </si>
  <si>
    <t>RES SMD 120K OHM 0.1% 1/16W 0402</t>
  </si>
  <si>
    <t>RES 0 OHM JUMPER 1/16W 0402</t>
  </si>
  <si>
    <t>RES 51K OHM 1% 1/16W 0402</t>
  </si>
  <si>
    <t>RES SMD 0R, 1%, 0.1W, 0603</t>
  </si>
  <si>
    <t>RES 120 OHM 1% 1/20W 0201</t>
  </si>
  <si>
    <t>RES 1M OHM 1% 1/16W 0402</t>
  </si>
  <si>
    <t>RES SMD 2.2K OHM 1% 1/16W 0402</t>
  </si>
  <si>
    <t>RES 4.7K OHM 1% 1/16W 0402</t>
  </si>
  <si>
    <t>RES 200 OHM 1% 1/20W 0201</t>
  </si>
  <si>
    <t>RES 2.2 OHM 1% 1/16W 0402</t>
  </si>
  <si>
    <t>RES 1.62K OHM 0.5% 1/20W 0201</t>
  </si>
  <si>
    <t>RES 3.3K OHM 1% 1/16W 0402</t>
  </si>
  <si>
    <t>RES SMD 2K OHM 0.1% 1/10W 0603</t>
  </si>
  <si>
    <t>RES SMD 100K OHM 0.1% 1/16W 0402</t>
  </si>
  <si>
    <t>RES 240 OHM 1% 1/16W 0402</t>
  </si>
  <si>
    <t>RES SMD 1M OHM 1% 1/10W 0603</t>
  </si>
  <si>
    <t>RES 27K OHM 0.5% 1/16W 0402</t>
  </si>
  <si>
    <t>RES 1.8K OHM 1% 1/16W 0402</t>
  </si>
  <si>
    <t>RES 3K OHM 1% 1/16W 0402</t>
  </si>
  <si>
    <t>RES 82K OHM 1% 1/16W 0402</t>
  </si>
  <si>
    <t>RES 8.2 OHM 1% 1/4W 1206</t>
  </si>
  <si>
    <t>RES 30K OHM 1% 1/16W 0402</t>
  </si>
  <si>
    <t>RES 15K OHM 1% 1/10W 0603</t>
  </si>
  <si>
    <t>RES 20K OHM 1% 1/10W 0603</t>
  </si>
  <si>
    <t>RES 33 OHM 1% 1/16W 0402</t>
  </si>
  <si>
    <t>RES SMD 15K OHM 0.1% 1/16W 0402</t>
  </si>
  <si>
    <t>RES SMD 0 OHM JUMPER 1/20W 0201</t>
  </si>
  <si>
    <t>RES 100K OHM 1% 1/8W 0805</t>
  </si>
  <si>
    <t>RES SMD 22K OHM 0.1% 1/10W 0603</t>
  </si>
  <si>
    <t>TRIMMER 100K OHM 0.1W J LEAD TOP</t>
  </si>
  <si>
    <t>RES SMD 47K OHM 0.1% 1/10W 0603</t>
  </si>
  <si>
    <t>RES 200K OHM 0.5% 1/16W 0402</t>
  </si>
  <si>
    <t>RES 1M OHM 1% 1/8W 0805</t>
  </si>
  <si>
    <t>RES 1.5K OHM 1% 1/16W 0402</t>
  </si>
  <si>
    <t>RES SMD 1K OHM 0.1% 1/10W 0603</t>
  </si>
  <si>
    <t>RES 470 OHM 1% 1/10W 0603</t>
  </si>
  <si>
    <t>RES SMD 10 OHM 1% 1/10W 0603</t>
  </si>
  <si>
    <t>RES SMD 10K OHM 0.1% 1/10W 0603</t>
  </si>
  <si>
    <t>RES SMD 2.7K OHM 0.1% 1/10W 0603</t>
  </si>
  <si>
    <t>RES 120 OHM 1% 1/10W 0603</t>
  </si>
  <si>
    <t>RES SMD 100 OHM 1% 1/10W 0603</t>
  </si>
  <si>
    <t>RES 22 OHM 1% 1/10W 0603</t>
  </si>
  <si>
    <t>RES SMD 6.8 OHM 1% 1/10W 0603</t>
  </si>
  <si>
    <t>SWITCH TACTILE SPST-NO 0.05A 12V</t>
  </si>
  <si>
    <t>70V 5kV 50mA 100mV@1mA,20mA 1 6V 1.2V DC SMD-4 Transistor Output Optocoupler ROHS</t>
  </si>
  <si>
    <t>IC REG BUCK ADJ 6A 10VQFN</t>
  </si>
  <si>
    <t>IC REG BUCK ADJ 3A TSOT26</t>
  </si>
  <si>
    <t>IC REG LIN 5V 150MA SOT25 T&amp;R 3K</t>
  </si>
  <si>
    <t>QFN-68-EP(7x7) Power Management Specialized - PMIC ROHS</t>
  </si>
  <si>
    <t>Step-down type CSP1.56*1.96-20 DC-DC Converters ROHS</t>
  </si>
  <si>
    <t>FCCSP-636L Microcontroller Units (MCUs/MPUs/SOCs) ROHS</t>
  </si>
  <si>
    <t>IC REG LINEAR 1.8V 300MA SOT25</t>
  </si>
  <si>
    <t>SOT-23-5 Power Distribution Switches ROHS</t>
  </si>
  <si>
    <t>Step-down type SOT-23-5 DC-DC Converters ROHS</t>
  </si>
  <si>
    <t>FBGA-200 DDR SDRAM ROHS</t>
  </si>
  <si>
    <t>eMMC 5.1 FBGA-153 eMMC ROHS</t>
  </si>
  <si>
    <t>IC FLASH 128MBIT SPI/QUAD 8SOIC</t>
  </si>
  <si>
    <t>IC CURRENT SWITCH SOT23-3</t>
  </si>
  <si>
    <t>IC LED DRVR RGLTR PWM TSOT23-6</t>
  </si>
  <si>
    <t>802.11ac/a/b/g/n WiFi Combo Sip Module (WiFi 5), 1T1R</t>
  </si>
  <si>
    <t>IC USB TYPE C CTLR PROGR 18TMLP</t>
  </si>
  <si>
    <t>IC USB TYPE C CTLR PROGR 14-MLP</t>
  </si>
  <si>
    <t>ESOP-8 ADC/DAC - Specialized ROHS</t>
  </si>
  <si>
    <t>IC F/V CONV 10KHZ 8SOIC</t>
  </si>
  <si>
    <t>SMD,10.1x9.7mm Satellite Positioning Modules ROHS</t>
  </si>
  <si>
    <t>IC REG LIN POS ADJ 500MA SOT223</t>
  </si>
  <si>
    <t>IC ADC 16BIT SIGMA-DELTA 10VSSOP</t>
  </si>
  <si>
    <t>IC XPNDR 1.7MHZ I2C 28SSOP</t>
  </si>
  <si>
    <t>400kHz SO-8 I/O Expanders ROHS</t>
  </si>
  <si>
    <t>32.768kHz 贴片晶振 12.5pF ±20ppm ±20ppm SMD3215-2P Crystals ROHS</t>
  </si>
  <si>
    <t>24MHz 8pF ±10ppm SMD3225-4P Crystals ROHS</t>
  </si>
  <si>
    <t>37.4MHz SMD Crystal Resonator 9pF 60Ω ±10ppm -40℃~+85℃ SMD2016-4P Crystals</t>
  </si>
  <si>
    <t>Footprint</t>
  </si>
  <si>
    <t>M830520</t>
  </si>
  <si>
    <t>DFN-6(1x1.6)</t>
  </si>
  <si>
    <t>KH-GPS181804-WY</t>
  </si>
  <si>
    <t>Cap-0805</t>
  </si>
  <si>
    <t>Cap-0402</t>
  </si>
  <si>
    <t>RVT1H101M0607</t>
  </si>
  <si>
    <t>Cap-0603</t>
  </si>
  <si>
    <t>Cap-1206</t>
  </si>
  <si>
    <t>CAP-0201</t>
  </si>
  <si>
    <t>Cap-0201</t>
  </si>
  <si>
    <t>CAP-0603</t>
  </si>
  <si>
    <t>Cap-1210</t>
  </si>
  <si>
    <t>RVT1H1R0M0405</t>
  </si>
  <si>
    <t>50SVPF10M</t>
  </si>
  <si>
    <t>SMA</t>
  </si>
  <si>
    <t>DFN1006-2L_</t>
  </si>
  <si>
    <t>SOT-23</t>
  </si>
  <si>
    <t>SOD-123</t>
  </si>
  <si>
    <t>SOD-323</t>
  </si>
  <si>
    <t>DFN2510-10L_</t>
  </si>
  <si>
    <t>SMA(DO-214AC)</t>
  </si>
  <si>
    <t>DFN0603-D</t>
  </si>
  <si>
    <t>MicroSMP</t>
  </si>
  <si>
    <t>Fuse-1812_</t>
  </si>
  <si>
    <t>IND-0603 (1608 Metric)</t>
  </si>
  <si>
    <t>Ind-0805</t>
  </si>
  <si>
    <t>HDR1X2_</t>
  </si>
  <si>
    <t>CR2032-BS-6-1</t>
  </si>
  <si>
    <t>Pogo 4 Pin</t>
  </si>
  <si>
    <t>HDR1X3_</t>
  </si>
  <si>
    <t>TF-109</t>
  </si>
  <si>
    <t>46765-1001</t>
  </si>
  <si>
    <t>TF31-30S-0.5SH(800)</t>
  </si>
  <si>
    <t>TYPEC-501S-ACP24H92</t>
  </si>
  <si>
    <t>PB-621SR13-TF</t>
  </si>
  <si>
    <t>K776280WV-35-PTSNW</t>
  </si>
  <si>
    <t>ALDP112W</t>
  </si>
  <si>
    <t>FAUL1050-3R3MT</t>
  </si>
  <si>
    <t>YSPI1050-4R7M</t>
  </si>
  <si>
    <t>YHNR3012-R47M</t>
  </si>
  <si>
    <t>YNR4018-220M</t>
  </si>
  <si>
    <t>LED-0603</t>
  </si>
  <si>
    <t>Res-0402</t>
  </si>
  <si>
    <t>Res-0805</t>
  </si>
  <si>
    <t>Res_1210</t>
  </si>
  <si>
    <t>Res-0603</t>
  </si>
  <si>
    <t>Res-0201</t>
  </si>
  <si>
    <t>Res-1206</t>
  </si>
  <si>
    <t>RES-0805</t>
  </si>
  <si>
    <t>B3U-1000P</t>
  </si>
  <si>
    <t>PC817C</t>
  </si>
  <si>
    <t>10-VQFN-HR (3x3)</t>
  </si>
  <si>
    <t>SOT-23-6</t>
  </si>
  <si>
    <t>SOT-23-5</t>
  </si>
  <si>
    <t>68-QFN-(7x7)</t>
  </si>
  <si>
    <t>CSP1.56*1.96-20</t>
  </si>
  <si>
    <t>FCCSP-636L</t>
  </si>
  <si>
    <t>200-WFBGA (10x14.5)</t>
  </si>
  <si>
    <t>FBGA-153(11.5x13)</t>
  </si>
  <si>
    <t>SOIC-8 (208 mil)</t>
  </si>
  <si>
    <t>X2-QFN-18</t>
  </si>
  <si>
    <t>WFQFN-14(2.5x2.5)</t>
  </si>
  <si>
    <t>ESOP-8</t>
  </si>
  <si>
    <t>SOIC-8(0.154", 3.90mm Width)</t>
  </si>
  <si>
    <t>ATGM336H-6N-74</t>
  </si>
  <si>
    <t>SOT- 223</t>
  </si>
  <si>
    <t>VSSOP-10</t>
  </si>
  <si>
    <t>SSOP-28-208mil</t>
  </si>
  <si>
    <t>SOP-8</t>
  </si>
  <si>
    <t>SMD3215-2P</t>
  </si>
  <si>
    <t>SMD3225-4P</t>
  </si>
  <si>
    <t>Manufacturer Part Number</t>
  </si>
  <si>
    <t>AT2659</t>
  </si>
  <si>
    <t>GRM21BR61H106ME43L</t>
  </si>
  <si>
    <t>GRM155R71H104ME14D</t>
  </si>
  <si>
    <t>CC0805KKX5R9BB225</t>
  </si>
  <si>
    <t>CC0402KRX5R8BB105</t>
  </si>
  <si>
    <t>CC0402FRNPO9BN560</t>
  </si>
  <si>
    <t>CC0402JRNPO9BN101</t>
  </si>
  <si>
    <t>CC0603MRX5R6BB226</t>
  </si>
  <si>
    <t>GRM31CR61E476ME44L</t>
  </si>
  <si>
    <t>CC0603KRX5R6BB106</t>
  </si>
  <si>
    <t>CC0402KRX5R6BB104</t>
  </si>
  <si>
    <t>CC0603MRX5R5BB226</t>
  </si>
  <si>
    <t>GCM1555C1H180GA16D</t>
  </si>
  <si>
    <t>CC0402KRX5R6BB475</t>
  </si>
  <si>
    <t>CC0402KRX5R6BB105</t>
  </si>
  <si>
    <t>C1005X5R0J225KTJA0E</t>
  </si>
  <si>
    <t>CC0402KRX5R5BB475</t>
  </si>
  <si>
    <t>CC0201KRX5R6BB104</t>
  </si>
  <si>
    <t>CC0201KRX5R5BB105</t>
  </si>
  <si>
    <t>GRM188R60J106ME47D</t>
  </si>
  <si>
    <t>GRM1555C1H100JA01D</t>
  </si>
  <si>
    <t>GRM1555C1H102JA01D</t>
  </si>
  <si>
    <t>CC1206KKX7RCBB472</t>
  </si>
  <si>
    <t>CC0603KRX5R8BB225</t>
  </si>
  <si>
    <t>CL10A105KB8NNNC</t>
  </si>
  <si>
    <t>GJM1555C1H120GB01D</t>
  </si>
  <si>
    <t>CC0603KRX5R7BB475</t>
  </si>
  <si>
    <t>CC0603JRNPO9BN100</t>
  </si>
  <si>
    <t>CC1210KKX7RYBB224</t>
  </si>
  <si>
    <t>CC0805KKX7RABB103</t>
  </si>
  <si>
    <t>RVT1E100M0405</t>
  </si>
  <si>
    <t>CC0402KRX7R8BB333</t>
  </si>
  <si>
    <t>CC0603JRNPO9BN101</t>
  </si>
  <si>
    <t>CL05B104KB54PNC</t>
  </si>
  <si>
    <t>CL05A105KA5NQNC</t>
  </si>
  <si>
    <t>SS34</t>
  </si>
  <si>
    <t>ESD5451N</t>
  </si>
  <si>
    <t>BAT54C</t>
  </si>
  <si>
    <t>1N5819HW-7-F</t>
  </si>
  <si>
    <t>ESD5341N-2/TR</t>
  </si>
  <si>
    <t>B5819WS-TP</t>
  </si>
  <si>
    <t>ESD5304D-10/TR</t>
  </si>
  <si>
    <t>SS26</t>
  </si>
  <si>
    <t>ESD5311Z-2/TR</t>
  </si>
  <si>
    <t>1N4007</t>
  </si>
  <si>
    <t>PESDHC3D3V3U</t>
  </si>
  <si>
    <t>BZT52C16</t>
  </si>
  <si>
    <t>1N4148W</t>
  </si>
  <si>
    <t>BSMD1812-300-24V</t>
  </si>
  <si>
    <t>BLM18PG121SN1D</t>
  </si>
  <si>
    <t>BLM18PG181SN1D</t>
  </si>
  <si>
    <t>MMZ2012R102ATD25</t>
  </si>
  <si>
    <t>X6511WV-02H-C60D30</t>
  </si>
  <si>
    <t>POGO Connector 4 Pin</t>
  </si>
  <si>
    <t>X6511WV-03H-C60D30</t>
  </si>
  <si>
    <t>WPN252012HR24MT</t>
  </si>
  <si>
    <t>WPN4020H2R2MT</t>
  </si>
  <si>
    <t>SPH4018H3R3MT</t>
  </si>
  <si>
    <t>SDMM0806H-2-900T</t>
  </si>
  <si>
    <t>BKW0805UC6N8JGT</t>
  </si>
  <si>
    <t>NCD0603Y2</t>
  </si>
  <si>
    <t>NCD0603R3</t>
  </si>
  <si>
    <t>NCD0603G2</t>
  </si>
  <si>
    <t>NCD0603O2</t>
  </si>
  <si>
    <t>NCD0603B3</t>
  </si>
  <si>
    <t>SS8050-G</t>
  </si>
  <si>
    <t>2SK3018</t>
  </si>
  <si>
    <t>RC0402FR-071KL</t>
  </si>
  <si>
    <t>RC0805FR-070RL</t>
  </si>
  <si>
    <t>RC1210JR-072RL</t>
  </si>
  <si>
    <t>RC0402FR-0710KL</t>
  </si>
  <si>
    <t>RC0402FR-07100KL</t>
  </si>
  <si>
    <t>RT0402BRE0793K1L</t>
  </si>
  <si>
    <t>RT0402BRD0730K1L</t>
  </si>
  <si>
    <t>RC0402FR-0720KL</t>
  </si>
  <si>
    <t>RT0402BRD0773K2L</t>
  </si>
  <si>
    <t>RT0402BRD0710KL</t>
  </si>
  <si>
    <t>RC0603JR-070RL</t>
  </si>
  <si>
    <t>RC0402FR-07100RL</t>
  </si>
  <si>
    <t>RC0402FR-07560RL</t>
  </si>
  <si>
    <t>RC0402FR-079K1L</t>
  </si>
  <si>
    <t>RC0402FR-0722RL</t>
  </si>
  <si>
    <t>AT0402BRD0751KL</t>
  </si>
  <si>
    <t>RT0402BRD07120KL</t>
  </si>
  <si>
    <t>RC0402FR-070RL</t>
  </si>
  <si>
    <t>RC0402FR-0751KL</t>
  </si>
  <si>
    <t>RC0603FR-070RL</t>
  </si>
  <si>
    <t>RC0201FR-07120RL</t>
  </si>
  <si>
    <t>RC0402FR-071ML</t>
  </si>
  <si>
    <t>RC0402FR-072K2L</t>
  </si>
  <si>
    <t>RC0402FR-074K7L</t>
  </si>
  <si>
    <t>RC0201FR-07200RL</t>
  </si>
  <si>
    <t>RC0402FR-072R2L</t>
  </si>
  <si>
    <t>RC0201DR-071K62L</t>
  </si>
  <si>
    <t>RC0402FR-073K3L</t>
  </si>
  <si>
    <t>RT0603BRE072KL</t>
  </si>
  <si>
    <t>RT0402BRD07100KL</t>
  </si>
  <si>
    <t>RC0402FR-07240RL</t>
  </si>
  <si>
    <t>RC0603FR-071ML</t>
  </si>
  <si>
    <t>RC0402DR-0727KL</t>
  </si>
  <si>
    <t>RC0402FR-071K8L</t>
  </si>
  <si>
    <t>RC0402FR-073KL</t>
  </si>
  <si>
    <t>RC0402FR-0782KL</t>
  </si>
  <si>
    <t>RC1206FR-078R2L</t>
  </si>
  <si>
    <t>RC0402FR-0730KL</t>
  </si>
  <si>
    <t>RC0603FR-0715KL</t>
  </si>
  <si>
    <t>RC0603FR-0720KL</t>
  </si>
  <si>
    <t>RC0402FR-0733RL</t>
  </si>
  <si>
    <t>RT0402BRD0715KL</t>
  </si>
  <si>
    <t>RC0201JR-070RL</t>
  </si>
  <si>
    <t>RC0805FR-07100KL</t>
  </si>
  <si>
    <t>RT0603BRD0722KL</t>
  </si>
  <si>
    <t>TC33X-2-104E</t>
  </si>
  <si>
    <t>RT0603BRD0747KL</t>
  </si>
  <si>
    <t>RC0402DR-07200KL</t>
  </si>
  <si>
    <t>RC0805FR-071ML</t>
  </si>
  <si>
    <t>RC0402FR-071K5L</t>
  </si>
  <si>
    <t>RT0603BRD071KL</t>
  </si>
  <si>
    <t>RC0603FR-07470RL</t>
  </si>
  <si>
    <t>RC0603FR-0710RL</t>
  </si>
  <si>
    <t>RT0603BRD0710KL</t>
  </si>
  <si>
    <t>RT0603BRD07-2K7L</t>
  </si>
  <si>
    <t>RC0603FR-07120RL</t>
  </si>
  <si>
    <t>RC0603FR-07100RL</t>
  </si>
  <si>
    <t>RC0603FR-0722RL</t>
  </si>
  <si>
    <t>RC0603FR-076R8L</t>
  </si>
  <si>
    <t>TPS56637RPAR</t>
  </si>
  <si>
    <t>AP63300WU-7</t>
  </si>
  <si>
    <t>AP7383-50WR-7</t>
  </si>
  <si>
    <t>RK809-5</t>
  </si>
  <si>
    <t>SYR838PKC</t>
  </si>
  <si>
    <t>RK3568B2</t>
  </si>
  <si>
    <t>AP7331-18WG-7</t>
  </si>
  <si>
    <t>SY6280AAC</t>
  </si>
  <si>
    <t>SY8089AAAC</t>
  </si>
  <si>
    <t>K4UBE3D4AA-MGCL</t>
  </si>
  <si>
    <t>KLMAG1JETD-B041</t>
  </si>
  <si>
    <t>W25Q128JWSIQ</t>
  </si>
  <si>
    <t>AP2331SA-7</t>
  </si>
  <si>
    <t>RT9293BGJ6</t>
  </si>
  <si>
    <t>AP6256</t>
  </si>
  <si>
    <t>FUSB340TMX</t>
  </si>
  <si>
    <t>FUSB302BMPX</t>
  </si>
  <si>
    <t>GP8101S-TC50-EW</t>
  </si>
  <si>
    <t>LM2917MX-8</t>
  </si>
  <si>
    <t>LM317MDCYR</t>
  </si>
  <si>
    <t>ADS1115IDGSR</t>
  </si>
  <si>
    <t>MCP23017T-E/SS</t>
  </si>
  <si>
    <t>PCA9536D,118</t>
  </si>
  <si>
    <t>XDMCZLNDDF-0.032768MHZ</t>
  </si>
  <si>
    <t>E3SB24E000009E</t>
  </si>
  <si>
    <t>Q22FA12800078</t>
  </si>
  <si>
    <t>Manufacturer</t>
  </si>
  <si>
    <t>Kyocera AVX</t>
  </si>
  <si>
    <t>ZHONGKEWEI</t>
  </si>
  <si>
    <t>Shenzhen Kinghelm Elec</t>
  </si>
  <si>
    <t>Murata</t>
  </si>
  <si>
    <t>Yageo</t>
  </si>
  <si>
    <t>ROQANG</t>
  </si>
  <si>
    <t>TDK</t>
  </si>
  <si>
    <t>Samsung</t>
  </si>
  <si>
    <t>Roqang</t>
  </si>
  <si>
    <t>Panasonic</t>
  </si>
  <si>
    <t>MDD</t>
  </si>
  <si>
    <t>TECH PUBLIC</t>
  </si>
  <si>
    <t>Shandong Jingdao Microelectronics</t>
  </si>
  <si>
    <t>Diodes</t>
  </si>
  <si>
    <t>WILLSEMI</t>
  </si>
  <si>
    <t>TWGMC</t>
  </si>
  <si>
    <t>Shanghai Prisemi Elec</t>
  </si>
  <si>
    <t>Shikues</t>
  </si>
  <si>
    <t>JSMSEMI</t>
  </si>
  <si>
    <t>BHFUSE</t>
  </si>
  <si>
    <t>Murata Electronics</t>
  </si>
  <si>
    <t>XKB</t>
  </si>
  <si>
    <t>Q&amp;J</t>
  </si>
  <si>
    <t>XUNPU</t>
  </si>
  <si>
    <t>Molex</t>
  </si>
  <si>
    <t>Hirose</t>
  </si>
  <si>
    <t>JST</t>
  </si>
  <si>
    <t>XKB Connection</t>
  </si>
  <si>
    <t>cjiang</t>
  </si>
  <si>
    <t>YJYCOIN</t>
  </si>
  <si>
    <t>Sunlord</t>
  </si>
  <si>
    <t>FH-BK</t>
  </si>
  <si>
    <t>Foshan NationStar Optoelectronics</t>
  </si>
  <si>
    <t>FOSHAN Nationstar Optoelectronics</t>
  </si>
  <si>
    <t>Comchip</t>
  </si>
  <si>
    <t>KUU</t>
  </si>
  <si>
    <t>Bourns</t>
  </si>
  <si>
    <t>Omron</t>
  </si>
  <si>
    <t>Slkor</t>
  </si>
  <si>
    <t>Texas Instruments</t>
  </si>
  <si>
    <t>Rockchip</t>
  </si>
  <si>
    <t>Silergy</t>
  </si>
  <si>
    <t>Winbond</t>
  </si>
  <si>
    <t>Richtek</t>
  </si>
  <si>
    <t>SparkLan</t>
  </si>
  <si>
    <t>ON Semiconductor / Fairchild</t>
  </si>
  <si>
    <t>Guestgood</t>
  </si>
  <si>
    <t>TI National Semiconductor</t>
  </si>
  <si>
    <t>Microchip</t>
  </si>
  <si>
    <t>NXP Semiconductors</t>
  </si>
  <si>
    <t>TAITIEN Elec</t>
  </si>
  <si>
    <t>Hosonic Elec</t>
  </si>
  <si>
    <t>Seiko</t>
  </si>
  <si>
    <t>LCSC Part Number</t>
  </si>
  <si>
    <t>C5221067</t>
  </si>
  <si>
    <t>C92450</t>
  </si>
  <si>
    <t>C962215</t>
  </si>
  <si>
    <t>C2190942</t>
  </si>
  <si>
    <t>C182412</t>
  </si>
  <si>
    <t>C326581</t>
  </si>
  <si>
    <t>C3151829</t>
  </si>
  <si>
    <t>C326568</t>
  </si>
  <si>
    <t>C526981</t>
  </si>
  <si>
    <t>C106200</t>
  </si>
  <si>
    <t>C109447</t>
  </si>
  <si>
    <t>C403725</t>
  </si>
  <si>
    <t>C326057</t>
  </si>
  <si>
    <t>C129131</t>
  </si>
  <si>
    <t>C109448</t>
  </si>
  <si>
    <t>C882583</t>
  </si>
  <si>
    <t>C326586</t>
  </si>
  <si>
    <t>C106254</t>
  </si>
  <si>
    <t>C343036</t>
  </si>
  <si>
    <t>C541466</t>
  </si>
  <si>
    <t>C190183</t>
  </si>
  <si>
    <t>C541330</t>
  </si>
  <si>
    <t>C77041</t>
  </si>
  <si>
    <t>C76946</t>
  </si>
  <si>
    <t>C76947</t>
  </si>
  <si>
    <t>C107198</t>
  </si>
  <si>
    <t>C309478</t>
  </si>
  <si>
    <t>C15849</t>
  </si>
  <si>
    <t>C161305</t>
  </si>
  <si>
    <t>C277476</t>
  </si>
  <si>
    <t>C106245</t>
  </si>
  <si>
    <t>C326671</t>
  </si>
  <si>
    <t>C72491</t>
  </si>
  <si>
    <t>C106844</t>
  </si>
  <si>
    <t>C970655</t>
  </si>
  <si>
    <t>C326974</t>
  </si>
  <si>
    <t>C2162323</t>
  </si>
  <si>
    <t>C14665</t>
  </si>
  <si>
    <t>C307331</t>
  </si>
  <si>
    <t>C52923</t>
  </si>
  <si>
    <t>C8678</t>
  </si>
  <si>
    <t>C2936977</t>
  </si>
  <si>
    <t>C2762215</t>
  </si>
  <si>
    <t>C82544</t>
  </si>
  <si>
    <t>C239773</t>
  </si>
  <si>
    <t>C22624</t>
  </si>
  <si>
    <t>C153722</t>
  </si>
  <si>
    <t>C14238</t>
  </si>
  <si>
    <t>C239819</t>
  </si>
  <si>
    <t>C727081</t>
  </si>
  <si>
    <t>C496538</t>
  </si>
  <si>
    <t>C216724</t>
  </si>
  <si>
    <t>C241899</t>
  </si>
  <si>
    <t>C917030</t>
  </si>
  <si>
    <t>C7500481</t>
  </si>
  <si>
    <t>C14709</t>
  </si>
  <si>
    <t>C82850</t>
  </si>
  <si>
    <t>C307765</t>
  </si>
  <si>
    <t>C706874</t>
  </si>
  <si>
    <t>C70377</t>
  </si>
  <si>
    <t>C706875</t>
  </si>
  <si>
    <t>C266617</t>
  </si>
  <si>
    <t>C563878</t>
  </si>
  <si>
    <t>C5137133</t>
  </si>
  <si>
    <t>C2840394</t>
  </si>
  <si>
    <t>C7472262</t>
  </si>
  <si>
    <t>C5138064</t>
  </si>
  <si>
    <t>C115718</t>
  </si>
  <si>
    <t>C5298289</t>
  </si>
  <si>
    <t>C497895</t>
  </si>
  <si>
    <t>C20416183</t>
  </si>
  <si>
    <t>C305274</t>
  </si>
  <si>
    <t>C98361</t>
  </si>
  <si>
    <t>C340373</t>
  </si>
  <si>
    <t>C98399</t>
  </si>
  <si>
    <t>C370285</t>
  </si>
  <si>
    <t>C98541</t>
  </si>
  <si>
    <t>C89811</t>
  </si>
  <si>
    <t>C3151730</t>
  </si>
  <si>
    <t>C87326</t>
  </si>
  <si>
    <t>C108553</t>
  </si>
  <si>
    <t>C158101</t>
  </si>
  <si>
    <t>C105433</t>
  </si>
  <si>
    <t>C2944164</t>
  </si>
  <si>
    <t>C106235</t>
  </si>
  <si>
    <t>C100045</t>
  </si>
  <si>
    <t>C114691</t>
  </si>
  <si>
    <t>C60490</t>
  </si>
  <si>
    <t>C60491</t>
  </si>
  <si>
    <t>C853435</t>
  </si>
  <si>
    <t>C852714</t>
  </si>
  <si>
    <t>C93942</t>
  </si>
  <si>
    <t>C852909</t>
  </si>
  <si>
    <t>C190095</t>
  </si>
  <si>
    <t>C95177</t>
  </si>
  <si>
    <t>C106232</t>
  </si>
  <si>
    <t>C163460</t>
  </si>
  <si>
    <t>C163450</t>
  </si>
  <si>
    <t>C114765</t>
  </si>
  <si>
    <t>C5455493</t>
  </si>
  <si>
    <t>C852501</t>
  </si>
  <si>
    <t>C106231</t>
  </si>
  <si>
    <t>C107229</t>
  </si>
  <si>
    <t>C295718</t>
  </si>
  <si>
    <t>C138033</t>
  </si>
  <si>
    <t>C114762</t>
  </si>
  <si>
    <t>C105871</t>
  </si>
  <si>
    <t>C274337</t>
  </si>
  <si>
    <t>C327251</t>
  </si>
  <si>
    <t>C851673</t>
  </si>
  <si>
    <t>C137992</t>
  </si>
  <si>
    <t>C136954</t>
  </si>
  <si>
    <t>C852472</t>
  </si>
  <si>
    <t>C105578</t>
  </si>
  <si>
    <t>C138076</t>
  </si>
  <si>
    <t>C163481</t>
  </si>
  <si>
    <t>C137987</t>
  </si>
  <si>
    <t>C137932</t>
  </si>
  <si>
    <t>C488973</t>
  </si>
  <si>
    <t>C114661</t>
  </si>
  <si>
    <t>C105575</t>
  </si>
  <si>
    <t>C138002</t>
  </si>
  <si>
    <t>C852545</t>
  </si>
  <si>
    <t>C106228</t>
  </si>
  <si>
    <t>C96346</t>
  </si>
  <si>
    <t>C469656</t>
  </si>
  <si>
    <t>C719186</t>
  </si>
  <si>
    <t>C326725</t>
  </si>
  <si>
    <t>C138077</t>
  </si>
  <si>
    <t>C107700</t>
  </si>
  <si>
    <t>C114759</t>
  </si>
  <si>
    <t>C110776</t>
  </si>
  <si>
    <t>C114669</t>
  </si>
  <si>
    <t>C109318</t>
  </si>
  <si>
    <t>C95204</t>
  </si>
  <si>
    <t>C705760</t>
  </si>
  <si>
    <t>C114640</t>
  </si>
  <si>
    <t>C105588</t>
  </si>
  <si>
    <t>C107701</t>
  </si>
  <si>
    <t>C185313</t>
  </si>
  <si>
    <t>C231329</t>
  </si>
  <si>
    <t>C2936043</t>
  </si>
  <si>
    <t>C841386</t>
  </si>
  <si>
    <t>C2158012</t>
  </si>
  <si>
    <t>C460413</t>
  </si>
  <si>
    <t>C2939628</t>
  </si>
  <si>
    <t>C178249</t>
  </si>
  <si>
    <t>C3345225</t>
  </si>
  <si>
    <t>C155293</t>
  </si>
  <si>
    <t>C55136</t>
  </si>
  <si>
    <t>C78988</t>
  </si>
  <si>
    <t>C2920257</t>
  </si>
  <si>
    <t>C499919</t>
  </si>
  <si>
    <t>C2763561</t>
  </si>
  <si>
    <t>C500764</t>
  </si>
  <si>
    <t>C36462</t>
  </si>
  <si>
    <t>C478457</t>
  </si>
  <si>
    <t>C132291</t>
  </si>
  <si>
    <t>C2837711</t>
  </si>
  <si>
    <t>C5804601</t>
  </si>
  <si>
    <t>C840113</t>
  </si>
  <si>
    <t>C37593</t>
  </si>
  <si>
    <t>C558584</t>
  </si>
  <si>
    <t>C2688883</t>
  </si>
  <si>
    <t>C521573</t>
  </si>
  <si>
    <t>C5241161</t>
  </si>
  <si>
    <t>C255897</t>
  </si>
  <si>
    <t>2.4GHZ/5GHZ</t>
  </si>
  <si>
    <t>10uF</t>
  </si>
  <si>
    <t>0.1uF</t>
  </si>
  <si>
    <t>2.2uF</t>
  </si>
  <si>
    <t>100uF</t>
  </si>
  <si>
    <t>1uF</t>
  </si>
  <si>
    <t>56pF</t>
  </si>
  <si>
    <t>100pF</t>
  </si>
  <si>
    <t>22uF</t>
  </si>
  <si>
    <t>47uF</t>
  </si>
  <si>
    <t>18pF</t>
  </si>
  <si>
    <t>4.7uF</t>
  </si>
  <si>
    <t>100nF</t>
  </si>
  <si>
    <t>10pF</t>
  </si>
  <si>
    <t>1nF</t>
  </si>
  <si>
    <t>DNP</t>
  </si>
  <si>
    <t>4.7nF</t>
  </si>
  <si>
    <t>12pF</t>
  </si>
  <si>
    <t>220nF</t>
  </si>
  <si>
    <t>10nF</t>
  </si>
  <si>
    <t>33nF</t>
  </si>
  <si>
    <t>120R</t>
  </si>
  <si>
    <t>3.3uH</t>
  </si>
  <si>
    <t>4.7uH</t>
  </si>
  <si>
    <t>470nH</t>
  </si>
  <si>
    <t>240nH</t>
  </si>
  <si>
    <t>2.2uH</t>
  </si>
  <si>
    <t>22uH</t>
  </si>
  <si>
    <t>6.8nH</t>
  </si>
  <si>
    <t>1K</t>
  </si>
  <si>
    <t>2R</t>
  </si>
  <si>
    <t>10K</t>
  </si>
  <si>
    <t>100K</t>
  </si>
  <si>
    <t>93.1K</t>
  </si>
  <si>
    <t>30.1K</t>
  </si>
  <si>
    <t>20K</t>
  </si>
  <si>
    <t>73.2K</t>
  </si>
  <si>
    <t>0R</t>
  </si>
  <si>
    <t>100R</t>
  </si>
  <si>
    <t>560R</t>
  </si>
  <si>
    <t>9.1K</t>
  </si>
  <si>
    <t>22R</t>
  </si>
  <si>
    <t>51K</t>
  </si>
  <si>
    <t>120K</t>
  </si>
  <si>
    <t>1M</t>
  </si>
  <si>
    <t>2.2K</t>
  </si>
  <si>
    <t>4.7K</t>
  </si>
  <si>
    <t>200R</t>
  </si>
  <si>
    <t>2.2R</t>
  </si>
  <si>
    <t>1.62K</t>
  </si>
  <si>
    <t>3.3K</t>
  </si>
  <si>
    <t>2K</t>
  </si>
  <si>
    <t>240R</t>
  </si>
  <si>
    <t>27K</t>
  </si>
  <si>
    <t>1.8K</t>
  </si>
  <si>
    <t>3K</t>
  </si>
  <si>
    <t>82K</t>
  </si>
  <si>
    <t>8.2R</t>
  </si>
  <si>
    <t>30K</t>
  </si>
  <si>
    <t>15K</t>
  </si>
  <si>
    <t>33R</t>
  </si>
  <si>
    <t>22K</t>
  </si>
  <si>
    <t>100k</t>
  </si>
  <si>
    <t>47K</t>
  </si>
  <si>
    <t>200K</t>
  </si>
  <si>
    <t>1.5K</t>
  </si>
  <si>
    <t>470R</t>
  </si>
  <si>
    <t>10R</t>
  </si>
  <si>
    <t>2.7K</t>
  </si>
  <si>
    <t>6.8R</t>
  </si>
  <si>
    <t>32.768kHz</t>
  </si>
  <si>
    <t>24MHz</t>
  </si>
  <si>
    <t>37.4MHz</t>
  </si>
  <si>
    <t>Quantity</t>
  </si>
  <si>
    <t>Bill of Materials for Project [MVP-Dash-v1.0]</t>
  </si>
  <si>
    <t>MVP-Dash-v1.0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</si>
  <si>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</si>
  <si>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</si>
  <si>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</si>
  <si>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</si>
  <si>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</si>
  <si>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</si>
  <si>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</si>
  <si>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</si>
  <si>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</si>
  <si>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</si>
  <si>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Do Not Place</t>
  </si>
  <si>
    <t>LCSC</t>
  </si>
  <si>
    <t>C114755</t>
  </si>
  <si>
    <t>C138008</t>
  </si>
  <si>
    <t>Chipsmall</t>
  </si>
  <si>
    <t>C5248079</t>
  </si>
  <si>
    <t>RS-03000JT</t>
  </si>
  <si>
    <t>C115304</t>
  </si>
  <si>
    <t>C17477</t>
  </si>
  <si>
    <t>0805W8F0000T5E</t>
  </si>
  <si>
    <t>Peripherals</t>
  </si>
  <si>
    <t>LCD</t>
  </si>
  <si>
    <t>KD050FHFID103</t>
  </si>
  <si>
    <t>Custom</t>
  </si>
  <si>
    <t>SHENZHEN STARTEK ELECTRONIC TECHNOLOGYCO.,LTD</t>
  </si>
  <si>
    <t>7.0 inch 280*1424,HDMI Interfac</t>
  </si>
  <si>
    <t>Order From Client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</si>
</sst>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8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165" fontId="16" fillId="2" borderId="10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66" fontId="13" fillId="3" borderId="9" xfId="0" quotePrefix="1" applyNumberFormat="1" applyFont="1" applyFill="1" applyBorder="1" applyAlignment="1">
      <alignment horizontal="center" vertical="center" wrapText="1"/>
    </xf>
    <xf numFmtId="166" fontId="13" fillId="3" borderId="14" xfId="0" applyNumberFormat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165" fontId="16" fillId="2" borderId="11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1" fillId="3" borderId="0" xfId="0" applyFont="1" applyFill="1" applyBorder="1"/>
    <xf numFmtId="0" fontId="11" fillId="3" borderId="8" xfId="0" applyFont="1" applyFill="1" applyBorder="1"/>
    <xf numFmtId="0" fontId="8" fillId="3" borderId="8" xfId="0" applyFont="1" applyFill="1" applyBorder="1"/>
    <xf numFmtId="0" fontId="13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/>
    </xf>
    <xf numFmtId="0" fontId="14" fillId="3" borderId="0" xfId="0" applyFont="1" applyFill="1" applyBorder="1"/>
    <xf numFmtId="0" fontId="9" fillId="3" borderId="0" xfId="0" applyFont="1" applyFill="1" applyBorder="1"/>
    <xf numFmtId="0" fontId="5" fillId="3" borderId="0" xfId="0" applyFont="1" applyFill="1" applyBorder="1" applyAlignment="1">
      <alignment horizontal="center"/>
    </xf>
    <xf numFmtId="164" fontId="11" fillId="3" borderId="0" xfId="0" applyNumberFormat="1" applyFont="1" applyFill="1" applyBorder="1" applyAlignment="1">
      <alignment horizontal="left"/>
    </xf>
    <xf numFmtId="0" fontId="19" fillId="0" borderId="0" xfId="0" applyFont="1"/>
    <xf numFmtId="0" fontId="13" fillId="3" borderId="0" xfId="0" applyFont="1" applyFill="1" applyBorder="1" applyAlignment="1">
      <alignment horizontal="center"/>
    </xf>
    <xf numFmtId="0" fontId="13" fillId="3" borderId="8" xfId="0" quotePrefix="1" applyFont="1" applyFill="1" applyBorder="1" applyAlignment="1">
      <alignment vertical="center"/>
    </xf>
    <xf numFmtId="0" fontId="10" fillId="3" borderId="8" xfId="0" quotePrefix="1" applyFont="1" applyFill="1" applyBorder="1" applyAlignment="1">
      <alignment horizontal="left"/>
    </xf>
    <xf numFmtId="0" fontId="21" fillId="2" borderId="11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3" fillId="2" borderId="10" xfId="1" applyFill="1" applyBorder="1" applyAlignment="1">
      <alignment horizontal="center" vertical="center" wrapText="1"/>
    </xf>
    <xf numFmtId="0" fontId="23" fillId="2" borderId="11" xfId="1" applyFill="1" applyBorder="1" applyAlignment="1">
      <alignment horizontal="center" vertical="center" wrapText="1"/>
    </xf>
    <xf numFmtId="165" fontId="21" fillId="2" borderId="10" xfId="0" applyNumberFormat="1" applyFont="1" applyFill="1" applyBorder="1" applyAlignment="1">
      <alignment horizontal="center" vertical="center" wrapText="1"/>
    </xf>
    <xf numFmtId="165" fontId="21" fillId="2" borderId="11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7" fillId="2" borderId="1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2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0" fillId="3" borderId="13" xfId="0" applyFont="1" applyFill="1" applyBorder="1" applyAlignment="1" applyProtection="1">
      <alignment horizontal="center" vertical="top"/>
      <protection locked="0"/>
    </xf>
    <xf numFmtId="0" fontId="20" fillId="3" borderId="8" xfId="0" applyFont="1" applyFill="1" applyBorder="1" applyAlignment="1" applyProtection="1">
      <alignment horizontal="center" vertical="top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5</xdr:row>
      <xdr:rowOff>161033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22325" y="257175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hip-Resistor-Surface-Mount_YAGEO-RC0402FR-073KL_C137987.html" TargetMode="External"/><Relationship Id="rId21" Type="http://schemas.openxmlformats.org/officeDocument/2006/relationships/hyperlink" Target="https://www.lcsc.com/product-detail/Multilayer-Ceramic-Capacitors-MLCC-SMD-SMT_YAGEO-CC0201KRX5R6BB104_C190183.html" TargetMode="External"/><Relationship Id="rId42" Type="http://schemas.openxmlformats.org/officeDocument/2006/relationships/hyperlink" Target="https://www.lcsc.com/product-detail/Electrostatic-and-Surge-Protection-TVS-ESD_TECH-PUBLIC-ESD5451N_C2936977.html" TargetMode="External"/><Relationship Id="rId63" Type="http://schemas.openxmlformats.org/officeDocument/2006/relationships/hyperlink" Target="https://www.lcsc.com/product-detail/D-Sub-VGA-connector_MOLEX-467651001_C563878.html" TargetMode="External"/><Relationship Id="rId84" Type="http://schemas.openxmlformats.org/officeDocument/2006/relationships/hyperlink" Target="https://www.lcsc.com/product-detail/MOSFETs_KUU-2SK3018_C2944164.html" TargetMode="External"/><Relationship Id="rId138" Type="http://schemas.openxmlformats.org/officeDocument/2006/relationships/hyperlink" Target="https://www.lcsc.com/product-detail/Chip-Resistor-Surface-Mount_YAGEO-RC0603FR-07120RL_C114640.html" TargetMode="External"/><Relationship Id="rId159" Type="http://schemas.openxmlformats.org/officeDocument/2006/relationships/hyperlink" Target="https://www.lcsc.com/product-detail/USB-Converters_onsemi-FUSB302BMPX_C132291.html" TargetMode="External"/><Relationship Id="rId170" Type="http://schemas.openxmlformats.org/officeDocument/2006/relationships/hyperlink" Target="https://www.lcsc.com/product-detail/WiFi-Modules_AMPAK-Tech-AP6256_C5248079.html" TargetMode="External"/><Relationship Id="rId107" Type="http://schemas.openxmlformats.org/officeDocument/2006/relationships/hyperlink" Target="https://www.lcsc.com/product-detail/Chip-Resistor-Surface-Mount_YAGEO-RC0201FR-07200RL_C274337.html" TargetMode="External"/><Relationship Id="rId11" Type="http://schemas.openxmlformats.org/officeDocument/2006/relationships/hyperlink" Target="https://www.lcsc.com/product-detail/Multilayer-Ceramic-Capacitors-MLCC-SMD-SMT_YAGEO-CC0603MRX5R6BB226_C109447.html" TargetMode="External"/><Relationship Id="rId32" Type="http://schemas.openxmlformats.org/officeDocument/2006/relationships/hyperlink" Target="https://www.lcsc.com/product-detail/Multilayer-Ceramic-Capacitors-MLCC-SMD-SMT_YAGEO-CC1210KKX7RYBB224_C326671.html" TargetMode="External"/><Relationship Id="rId53" Type="http://schemas.openxmlformats.org/officeDocument/2006/relationships/hyperlink" Target="https://www.lcsc.com/product-detail/Electrostatic-and-Surge-Protection-TVS-ESD_Vishay-Intertech-MSP3V3HM3-89A_C241899.html" TargetMode="External"/><Relationship Id="rId74" Type="http://schemas.openxmlformats.org/officeDocument/2006/relationships/hyperlink" Target="https://www.lcsc.com/product-detail/Power-Inductors_YJYCOIN-YNR4018-220M_C340373.html" TargetMode="External"/><Relationship Id="rId128" Type="http://schemas.openxmlformats.org/officeDocument/2006/relationships/hyperlink" Target="https://www.lcsc.com/product-detail/Variable-Resistors-Potentiometers_BOURNS-TC33X-2-104E_C719186.html" TargetMode="External"/><Relationship Id="rId149" Type="http://schemas.openxmlformats.org/officeDocument/2006/relationships/hyperlink" Target="https://www.lcsc.com/product-detail/Microcontroller-Units-MCUs-MPUs-SOCs_Rockchip-RK3568B2_C3345225.html" TargetMode="External"/><Relationship Id="rId5" Type="http://schemas.openxmlformats.org/officeDocument/2006/relationships/hyperlink" Target="https://www.lcsc.com/product-detail/Multilayer-Ceramic-Capacitors-MLCC-SMD-SMT_Murata-Electronics-GRM155R71H104ME14D_C182412.html" TargetMode="External"/><Relationship Id="rId95" Type="http://schemas.openxmlformats.org/officeDocument/2006/relationships/hyperlink" Target="https://www.lcsc.com/product-detail/Chip-Resistor-Surface-Mount_YAGEO-RC0402FR-07100RL_C106232.html" TargetMode="External"/><Relationship Id="rId160" Type="http://schemas.openxmlformats.org/officeDocument/2006/relationships/hyperlink" Target="https://www.lcsc.com/product-detail/ADC-DAC-Specialized_Guestgood-GP8101S-TC50-EW_C2837711.html" TargetMode="External"/><Relationship Id="rId22" Type="http://schemas.openxmlformats.org/officeDocument/2006/relationships/hyperlink" Target="https://www.lcsc.com/product-detail/Multilayer-Ceramic-Capacitors-MLCC-SMD-SMT_YAGEO-CC0201KRX5R5BB105_C541330.html" TargetMode="External"/><Relationship Id="rId43" Type="http://schemas.openxmlformats.org/officeDocument/2006/relationships/hyperlink" Target="https://www.lcsc.com/product-detail/Schottky-Barrier-Diodes-SBD_Shandong-Jingdao-Microelectronics-BAT54C_C2762215.html" TargetMode="External"/><Relationship Id="rId64" Type="http://schemas.openxmlformats.org/officeDocument/2006/relationships/hyperlink" Target="https://www.lcsc.com/product-detail/FFC-FPC-Connectors_HRS-Hirose-TF31-30S-0-5SH-800_C5137133.html" TargetMode="External"/><Relationship Id="rId118" Type="http://schemas.openxmlformats.org/officeDocument/2006/relationships/hyperlink" Target="https://www.lcsc.com/product-detail/Chip-Resistor-Surface-Mount_YAGEO-RC0402FR-0782KL_C137932.html" TargetMode="External"/><Relationship Id="rId139" Type="http://schemas.openxmlformats.org/officeDocument/2006/relationships/hyperlink" Target="https://www.lcsc.com/product-detail/Chip-Resistor-Surface-Mount_YAGEO-RC0603FR-07100RL_C105588.html" TargetMode="External"/><Relationship Id="rId85" Type="http://schemas.openxmlformats.org/officeDocument/2006/relationships/hyperlink" Target="https://www.lcsc.com/product-detail/Chip-Resistor-Surface-Mount_YAGEO-RC0402FR-071KL_C106235.html" TargetMode="External"/><Relationship Id="rId150" Type="http://schemas.openxmlformats.org/officeDocument/2006/relationships/hyperlink" Target="https://www.lcsc.com/product-detail/Linear-Voltage-Regulators-LDO_Diodes-Incorporated-AP7331-18WG-7_C155293.html" TargetMode="External"/><Relationship Id="rId171" Type="http://schemas.openxmlformats.org/officeDocument/2006/relationships/hyperlink" Target="https://www.lcsc.com/product-detail/Chip-Resistor-Surface-Mount_FH-Guangdong-Fenghua-Advanced-Tech-RS-03000JT_C115304.html" TargetMode="External"/><Relationship Id="rId12" Type="http://schemas.openxmlformats.org/officeDocument/2006/relationships/hyperlink" Target="https://www.lcsc.com/product-detail/Multilayer-Ceramic-Capacitors-MLCC-SMD-SMT_Murata-Electronics-GRM31CR61E476ME44L_C403725.html" TargetMode="External"/><Relationship Id="rId33" Type="http://schemas.openxmlformats.org/officeDocument/2006/relationships/hyperlink" Target="https://www.lcsc.com/product-detail/Aluminum-Electrolytic-Capacitors-SMD_ROQANG-RVT1H1R0M0405_C72491.html" TargetMode="External"/><Relationship Id="rId108" Type="http://schemas.openxmlformats.org/officeDocument/2006/relationships/hyperlink" Target="https://www.lcsc.com/product-detail/Chip-Resistor-Surface-Mount_YAGEO-RC0402FR-072R2L_C327251.html" TargetMode="External"/><Relationship Id="rId129" Type="http://schemas.openxmlformats.org/officeDocument/2006/relationships/hyperlink" Target="https://www.lcsc.com/product-detail/Chip-Resistor-Surface-Mount_YAGEO-RT0603BRD0747KL_C326725.html" TargetMode="External"/><Relationship Id="rId54" Type="http://schemas.openxmlformats.org/officeDocument/2006/relationships/hyperlink" Target="https://www.lcsc.com/product-detail/Switching-Diode_JSMSEMI-1N4148W_C917030.html" TargetMode="External"/><Relationship Id="rId75" Type="http://schemas.openxmlformats.org/officeDocument/2006/relationships/hyperlink" Target="https://www.lcsc.com/product-detail/Power-Inductors_Sunlord-SPH4018H3R3MT_C98399.html" TargetMode="External"/><Relationship Id="rId96" Type="http://schemas.openxmlformats.org/officeDocument/2006/relationships/hyperlink" Target="https://www.lcsc.com/product-detail/Chip-Resistor-Surface-Mount_YAGEO-RC0402FR-07560RL_C163460.html" TargetMode="External"/><Relationship Id="rId140" Type="http://schemas.openxmlformats.org/officeDocument/2006/relationships/hyperlink" Target="https://www.lcsc.com/product-detail/Chip-Resistor-Surface-Mount_YAGEO-RC0603FR-0722RL_C107701.html" TargetMode="External"/><Relationship Id="rId161" Type="http://schemas.openxmlformats.org/officeDocument/2006/relationships/hyperlink" Target="https://www.lcsc.com/product-detail/Satellite-Positioning-Modules_ZHONGKEWEI-ATGM336H-6N-74_C5804601.html" TargetMode="External"/><Relationship Id="rId1" Type="http://schemas.openxmlformats.org/officeDocument/2006/relationships/hyperlink" Target="https://www.lcsc.com/product-detail/Antennas_Kyocera-AVX-M830520_C5221067.html" TargetMode="External"/><Relationship Id="rId6" Type="http://schemas.openxmlformats.org/officeDocument/2006/relationships/hyperlink" Target="https://www.lcsc.com/product-detail/Multilayer-Ceramic-Capacitors-MLCC-SMD-SMT_YAGEO-CC0805KKX5R9BB225_C326581.html" TargetMode="External"/><Relationship Id="rId23" Type="http://schemas.openxmlformats.org/officeDocument/2006/relationships/hyperlink" Target="https://www.lcsc.com/product-detail/Multilayer-Ceramic-Capacitors-MLCC-SMD-SMT_Murata-Electronics-GRM188R60J106ME47D_C77041.html" TargetMode="External"/><Relationship Id="rId28" Type="http://schemas.openxmlformats.org/officeDocument/2006/relationships/hyperlink" Target="https://www.lcsc.com/product-detail/Multilayer-Ceramic-Capacitors-MLCC-SMD-SMT_Samsung-Electro-Mechanics-CL10A105KB8NNNC_C15849.html" TargetMode="External"/><Relationship Id="rId49" Type="http://schemas.openxmlformats.org/officeDocument/2006/relationships/hyperlink" Target="https://www.lcsc.com/product-detail/Electrostatic-and-Surge-Protection-TVS-ESD_WILLSEMI-Will-Semicon-ESD5311Z-2-TR_C239819.html" TargetMode="External"/><Relationship Id="rId114" Type="http://schemas.openxmlformats.org/officeDocument/2006/relationships/hyperlink" Target="https://www.lcsc.com/product-detail/Chip-Resistor-Surface-Mount_YAGEO-RC0603FR-071ML_C105578.html" TargetMode="External"/><Relationship Id="rId119" Type="http://schemas.openxmlformats.org/officeDocument/2006/relationships/hyperlink" Target="https://www.lcsc.com/product-detail/Chip-Resistor-Surface-Mount_YAGEO-RC1206FR-078R2L_C488973.html" TargetMode="External"/><Relationship Id="rId44" Type="http://schemas.openxmlformats.org/officeDocument/2006/relationships/hyperlink" Target="https://www.lcsc.com/product-detail/Schottky-Barrier-Diodes-SBD_Diodes-Incorporated-1N5819HW-7-F_C82544.html" TargetMode="External"/><Relationship Id="rId60" Type="http://schemas.openxmlformats.org/officeDocument/2006/relationships/hyperlink" Target="https://www.lcsc.com/product-detail/Button-And-Strip-Battery-Connector_Q-J-CR2032-BS-6-1_C70377.html" TargetMode="External"/><Relationship Id="rId65" Type="http://schemas.openxmlformats.org/officeDocument/2006/relationships/hyperlink" Target="https://www.lcsc.com/product-detail/USB-Connectors_XUNPU-TYPEC-501S-ACP24H92_C2840394.html" TargetMode="External"/><Relationship Id="rId81" Type="http://schemas.openxmlformats.org/officeDocument/2006/relationships/hyperlink" Target="https://www.lcsc.com/product-detail/Light-Emitting-Diodes-LED_Foshan-NationStar-Optoelectronics-NCD0603O2_C108553.html" TargetMode="External"/><Relationship Id="rId86" Type="http://schemas.openxmlformats.org/officeDocument/2006/relationships/hyperlink" Target="https://www.lcsc.com/product-detail/Chip-Resistor-Surface-Mount_YAGEO-RC1210JR-072RL_C114691.html" TargetMode="External"/><Relationship Id="rId130" Type="http://schemas.openxmlformats.org/officeDocument/2006/relationships/hyperlink" Target="https://www.lcsc.com/product-detail/Chip-Resistor-Surface-Mount_YAGEO-RC0402DR-07200KL_C138077.html" TargetMode="External"/><Relationship Id="rId135" Type="http://schemas.openxmlformats.org/officeDocument/2006/relationships/hyperlink" Target="https://www.lcsc.com/product-detail/Chip-Resistor-Surface-Mount_YAGEO-RC0603FR-0710RL_C109318.html" TargetMode="External"/><Relationship Id="rId151" Type="http://schemas.openxmlformats.org/officeDocument/2006/relationships/hyperlink" Target="https://www.lcsc.com/product-detail/Power-Distribution-Switches_Silergy-Corp-SY6280AAC_C55136.html" TargetMode="External"/><Relationship Id="rId156" Type="http://schemas.openxmlformats.org/officeDocument/2006/relationships/hyperlink" Target="https://www.lcsc.com/product-detail/Power-Distribution-Switches_Diodes-Incorporated-AP2331SA-7_C500764.html" TargetMode="External"/><Relationship Id="rId172" Type="http://schemas.openxmlformats.org/officeDocument/2006/relationships/hyperlink" Target="https://www.lcsc.com/product-detail/Chip-Resistor-Surface-Mount_UNI-ROYAL-Uniroyal-Elec-0805W8F0000T5E_C17477.html" TargetMode="External"/><Relationship Id="rId13" Type="http://schemas.openxmlformats.org/officeDocument/2006/relationships/hyperlink" Target="https://www.lcsc.com/product-detail/Multilayer-Ceramic-Capacitors-MLCC-SMD-SMT_YAGEO-CC0603KRX5R6BB106_C326057.html" TargetMode="External"/><Relationship Id="rId18" Type="http://schemas.openxmlformats.org/officeDocument/2006/relationships/hyperlink" Target="https://www.lcsc.com/product-detail/Multilayer-Ceramic-Capacitors-MLCC-SMD-SMT_YAGEO-CC0402KRX5R6BB105_C106254.html" TargetMode="External"/><Relationship Id="rId39" Type="http://schemas.openxmlformats.org/officeDocument/2006/relationships/hyperlink" Target="https://www.lcsc.com/product-detail/Multilayer-Ceramic-Capacitors-MLCC-SMD-SMT_Samsung-Electro-Mechanics-CL05B104KB54PNC_C307331.html" TargetMode="External"/><Relationship Id="rId109" Type="http://schemas.openxmlformats.org/officeDocument/2006/relationships/hyperlink" Target="https://www.lcsc.com/product-detail/Chip-Resistor-Surface-Mount_YAGEO-RC0201DR-071K62L_C851673.html" TargetMode="External"/><Relationship Id="rId34" Type="http://schemas.openxmlformats.org/officeDocument/2006/relationships/hyperlink" Target="https://www.lcsc.com/product-detail/Multilayer-Ceramic-Capacitors-MLCC-SMD-SMT_YAGEO-CC0805KKX7RABB103_C106844.html" TargetMode="External"/><Relationship Id="rId50" Type="http://schemas.openxmlformats.org/officeDocument/2006/relationships/hyperlink" Target="https://www.lcsc.com/product-detail/Diodes-General-Purpose_TWGMC-1N4007_C727081.html" TargetMode="External"/><Relationship Id="rId55" Type="http://schemas.openxmlformats.org/officeDocument/2006/relationships/hyperlink" Target="https://www.lcsc.com/product-detail/Resettable-Fuses_BHFUSE-BSMD1812-300-24V_C7500481.html" TargetMode="External"/><Relationship Id="rId76" Type="http://schemas.openxmlformats.org/officeDocument/2006/relationships/hyperlink" Target="https://www.lcsc.com/product-detail/Common-Mode-Filters_Sunlord-SDMM0806H-2-900T_C370285.html" TargetMode="External"/><Relationship Id="rId97" Type="http://schemas.openxmlformats.org/officeDocument/2006/relationships/hyperlink" Target="https://www.lcsc.com/product-detail/Chip-Resistor-Surface-Mount_YAGEO-RC0402FR-079K1L_C163450.html" TargetMode="External"/><Relationship Id="rId104" Type="http://schemas.openxmlformats.org/officeDocument/2006/relationships/hyperlink" Target="https://www.lcsc.com/product-detail/Chip-Resistor-Surface-Mount_YAGEO-RC0402FR-071ML_C138033.html" TargetMode="External"/><Relationship Id="rId120" Type="http://schemas.openxmlformats.org/officeDocument/2006/relationships/hyperlink" Target="https://www.lcsc.com/product-detail/Chip-Resistor-Surface-Mount_YAGEO-RC0402FR-0730KL_C138008.html" TargetMode="External"/><Relationship Id="rId125" Type="http://schemas.openxmlformats.org/officeDocument/2006/relationships/hyperlink" Target="https://www.lcsc.com/product-detail/Chip-Resistor-Surface-Mount_YAGEO-RC0201JR-070RL_C106228.html" TargetMode="External"/><Relationship Id="rId141" Type="http://schemas.openxmlformats.org/officeDocument/2006/relationships/hyperlink" Target="https://www.lcsc.com/product-detail/Chip-Resistor-Surface-Mount_YAGEO-RC0603FR-076R8L_C185313.html" TargetMode="External"/><Relationship Id="rId146" Type="http://schemas.openxmlformats.org/officeDocument/2006/relationships/hyperlink" Target="https://www.lcsc.com/product-detail/Linear-Voltage-Regulators-LDO_Diodes-Incorporated-AP7383-50WR-7_C460413.html" TargetMode="External"/><Relationship Id="rId167" Type="http://schemas.openxmlformats.org/officeDocument/2006/relationships/hyperlink" Target="https://www.lcsc.com/product-detail/Crystals_Hosonic-Elec-E3SB24E000009E_C5241161.html" TargetMode="External"/><Relationship Id="rId7" Type="http://schemas.openxmlformats.org/officeDocument/2006/relationships/hyperlink" Target="https://www.lcsc.com/product-detail/Aluminum-Electrolytic-Capacitors-SMD_ROQANG-RVT1H101M0607_C3151829.html" TargetMode="External"/><Relationship Id="rId71" Type="http://schemas.openxmlformats.org/officeDocument/2006/relationships/hyperlink" Target="https://www.lcsc.com/product-detail/Power-Inductors_YJYCOIN-YHNR3012-R47M_C20416183.html" TargetMode="External"/><Relationship Id="rId92" Type="http://schemas.openxmlformats.org/officeDocument/2006/relationships/hyperlink" Target="https://www.lcsc.com/product-detail/Chip-Resistor-Surface-Mount_YAGEO-RT0402BRD0773K2L_C852909.html" TargetMode="External"/><Relationship Id="rId162" Type="http://schemas.openxmlformats.org/officeDocument/2006/relationships/hyperlink" Target="https://www.lcsc.com/product-detail/Linear-Voltage-Regulators-LDO_Texas-Instruments-LM317MDCYR_C840113.html" TargetMode="External"/><Relationship Id="rId2" Type="http://schemas.openxmlformats.org/officeDocument/2006/relationships/hyperlink" Target="https://www.lcsc.com/product-detail/Low-Noise-Amplifiers-LNA-RF_ZHONGKEWEI-AT2659_C92450.html" TargetMode="External"/><Relationship Id="rId29" Type="http://schemas.openxmlformats.org/officeDocument/2006/relationships/hyperlink" Target="https://www.lcsc.com/product-detail/Multilayer-Ceramic-Capacitors-MLCC-SMD-SMT_Murata-Electronics-GJM1555C1H120GB01D_C161305.html" TargetMode="External"/><Relationship Id="rId24" Type="http://schemas.openxmlformats.org/officeDocument/2006/relationships/hyperlink" Target="https://www.lcsc.com/product-detail/Multilayer-Ceramic-Capacitors-MLCC-SMD-SMT_Murata-Electronics-GRM1555C1H100JA01D_C76946.html" TargetMode="External"/><Relationship Id="rId40" Type="http://schemas.openxmlformats.org/officeDocument/2006/relationships/hyperlink" Target="https://www.lcsc.com/product-detail/Multilayer-Ceramic-Capacitors-MLCC-SMD-SMT_Samsung-Electro-Mechanics-CL05A105KA5NQNC_C52923.html" TargetMode="External"/><Relationship Id="rId45" Type="http://schemas.openxmlformats.org/officeDocument/2006/relationships/hyperlink" Target="https://www.lcsc.com/product-detail/Electrostatic-and-Surge-Protection-TVS-ESD_WILLSEMI-Will-Semicon-ESD5341N-2-TR_C239773.html" TargetMode="External"/><Relationship Id="rId66" Type="http://schemas.openxmlformats.org/officeDocument/2006/relationships/hyperlink" Target="https://www.lcsc.com/product-detail/Button-And-Strip-Battery-Connector_JST-PB-621SR13-TF_C7472262.html" TargetMode="External"/><Relationship Id="rId87" Type="http://schemas.openxmlformats.org/officeDocument/2006/relationships/hyperlink" Target="https://www.lcsc.com/product-detail/Chip-Resistor-Surface-Mount_YAGEO-RC0402FR-0710KL_C60490.html" TargetMode="External"/><Relationship Id="rId110" Type="http://schemas.openxmlformats.org/officeDocument/2006/relationships/hyperlink" Target="https://www.lcsc.com/product-detail/Chip-Resistor-Surface-Mount_YAGEO-RC0402FR-073K3L_C137992.html" TargetMode="External"/><Relationship Id="rId115" Type="http://schemas.openxmlformats.org/officeDocument/2006/relationships/hyperlink" Target="https://www.lcsc.com/product-detail/Chip-Resistor-Surface-Mount_YAGEO-RC0402DR-0727KL_C138076.html" TargetMode="External"/><Relationship Id="rId131" Type="http://schemas.openxmlformats.org/officeDocument/2006/relationships/hyperlink" Target="https://www.lcsc.com/product-detail/Chip-Resistor-Surface-Mount_YAGEO-RC0805FR-071ML_C107700.html" TargetMode="External"/><Relationship Id="rId136" Type="http://schemas.openxmlformats.org/officeDocument/2006/relationships/hyperlink" Target="https://www.lcsc.com/product-detail/Chip-Resistor-Surface-Mount_YAGEO-RT0603BRD0710KL_C95204.html" TargetMode="External"/><Relationship Id="rId157" Type="http://schemas.openxmlformats.org/officeDocument/2006/relationships/hyperlink" Target="https://www.lcsc.com/product-detail/LED-Drivers_Richtek-Tech-RT9293BGJ6_C36462.html" TargetMode="External"/><Relationship Id="rId61" Type="http://schemas.openxmlformats.org/officeDocument/2006/relationships/hyperlink" Target="https://www.lcsc.com/product-detail/Pin-Headers_XKB-Connection-X6511WV-03H-C60D30_C706875.html" TargetMode="External"/><Relationship Id="rId82" Type="http://schemas.openxmlformats.org/officeDocument/2006/relationships/hyperlink" Target="https://www.lcsc.com/product-detail/Light-Emitting-Diodes-LED_Foshan-NationStar-Optoelectronics-NCD0603B3_C158101.html" TargetMode="External"/><Relationship Id="rId152" Type="http://schemas.openxmlformats.org/officeDocument/2006/relationships/hyperlink" Target="https://www.lcsc.com/product-detail/DC-DC-Converters_Silergy-Corp-SY8089AAAC_C78988.html" TargetMode="External"/><Relationship Id="rId173" Type="http://schemas.openxmlformats.org/officeDocument/2006/relationships/printerSettings" Target="../printerSettings/printerSettings1.bin"/><Relationship Id="rId19" Type="http://schemas.openxmlformats.org/officeDocument/2006/relationships/hyperlink" Target="https://www.lcsc.com/product-detail/Multilayer-Ceramic-Capacitors-MLCC-SMD-SMT_TDK-C1005X5R0J225KTJA0E_C343036.html" TargetMode="External"/><Relationship Id="rId14" Type="http://schemas.openxmlformats.org/officeDocument/2006/relationships/hyperlink" Target="https://www.lcsc.com/product-detail/Multilayer-Ceramic-Capacitors-MLCC-SMD-SMT_YAGEO-CC0402KRX5R6BB104_C129131.html" TargetMode="External"/><Relationship Id="rId30" Type="http://schemas.openxmlformats.org/officeDocument/2006/relationships/hyperlink" Target="https://www.lcsc.com/product-detail/Multilayer-Ceramic-Capacitors-MLCC-SMD-SMT_YAGEO-CC0603KRX5R7BB475_C277476.html" TargetMode="External"/><Relationship Id="rId35" Type="http://schemas.openxmlformats.org/officeDocument/2006/relationships/hyperlink" Target="https://www.lcsc.com/product-detail/Aluminum-Electrolytic-Capacitors-SMD_DMBJ-RVT1E100M0405-10UF-25V_C970655.html" TargetMode="External"/><Relationship Id="rId56" Type="http://schemas.openxmlformats.org/officeDocument/2006/relationships/hyperlink" Target="https://www.lcsc.com/product-detail/Ferrite-Beads_Murata-Electronics-BLM18PG121SN1D_C14709.html" TargetMode="External"/><Relationship Id="rId77" Type="http://schemas.openxmlformats.org/officeDocument/2006/relationships/hyperlink" Target="https://www.lcsc.com/product-detail/Inductors-SMD_FH-BK-Guangdong-Fenghua-Bangke-Elec-BKW0805UC6N8JGT_C98541.html" TargetMode="External"/><Relationship Id="rId100" Type="http://schemas.openxmlformats.org/officeDocument/2006/relationships/hyperlink" Target="https://www.lcsc.com/product-detail/Chip-Resistor-Surface-Mount_YAGEO-RT0402BRD07120KL_C852501.html" TargetMode="External"/><Relationship Id="rId105" Type="http://schemas.openxmlformats.org/officeDocument/2006/relationships/hyperlink" Target="https://www.lcsc.com/product-detail/Chip-Resistor-Surface-Mount_YAGEO-RC0402FR-072K2L_C114762.html" TargetMode="External"/><Relationship Id="rId126" Type="http://schemas.openxmlformats.org/officeDocument/2006/relationships/hyperlink" Target="https://www.lcsc.com/product-detail/Chip-Resistor-Surface-Mount_YAGEO-RC0805FR-07100KL_C96346.html" TargetMode="External"/><Relationship Id="rId147" Type="http://schemas.openxmlformats.org/officeDocument/2006/relationships/hyperlink" Target="https://www.lcsc.com/product-detail/Power-Management-Specialized-PMIC_Rockchip-RK809-5_C2939628.html" TargetMode="External"/><Relationship Id="rId168" Type="http://schemas.openxmlformats.org/officeDocument/2006/relationships/hyperlink" Target="https://www.lcsc.com/product-detail/Crystals_Seiko-Epson-Q22FA12800078_C255897.html" TargetMode="External"/><Relationship Id="rId8" Type="http://schemas.openxmlformats.org/officeDocument/2006/relationships/hyperlink" Target="https://www.lcsc.com/product-detail/Multilayer-Ceramic-Capacitors-MLCC-SMD-SMT_YAGEO-CC0402KRX5R8BB105_C326568.html" TargetMode="External"/><Relationship Id="rId51" Type="http://schemas.openxmlformats.org/officeDocument/2006/relationships/hyperlink" Target="https://www.lcsc.com/product-detail/Electrostatic-and-Surge-Protection-TVS-ESD_Shanghai-Prisemi-Elec-PESDHC3D3V3U_C496538.html" TargetMode="External"/><Relationship Id="rId72" Type="http://schemas.openxmlformats.org/officeDocument/2006/relationships/hyperlink" Target="https://www.lcsc.com/product-detail/Power-Inductors_Sunlord-WPN252012HR24MT_C305274.html" TargetMode="External"/><Relationship Id="rId93" Type="http://schemas.openxmlformats.org/officeDocument/2006/relationships/hyperlink" Target="https://www.lcsc.com/product-detail/Chip-Resistor-Surface-Mount_YAGEO-RT0402BRD0710KL_C190095.html" TargetMode="External"/><Relationship Id="rId98" Type="http://schemas.openxmlformats.org/officeDocument/2006/relationships/hyperlink" Target="https://www.lcsc.com/product-detail/Chip-Resistor-Surface-Mount_YAGEO-RC0402FR-0722RL_C114765.html" TargetMode="External"/><Relationship Id="rId121" Type="http://schemas.openxmlformats.org/officeDocument/2006/relationships/hyperlink" Target="https://www.lcsc.com/product-detail/Chip-Resistor-Surface-Mount_YAGEO-RC0603FR-0715KL_C114661.html" TargetMode="External"/><Relationship Id="rId142" Type="http://schemas.openxmlformats.org/officeDocument/2006/relationships/hyperlink" Target="https://www.lcsc.com/product-detail/Tactile-Switches_Omron-Electronics-B3U-1000P_C231329.html" TargetMode="External"/><Relationship Id="rId163" Type="http://schemas.openxmlformats.org/officeDocument/2006/relationships/hyperlink" Target="https://www.lcsc.com/product-detail/Analog-To-Digital-Converters-ADCs_Texas-Instruments-ADS1115IDGSR_C37593.html" TargetMode="External"/><Relationship Id="rId3" Type="http://schemas.openxmlformats.org/officeDocument/2006/relationships/hyperlink" Target="https://www.lcsc.com/product-detail/Antennas_Shenzhen-Kinghelm-Elec-KH-GPS181804-WY_C962215.html" TargetMode="External"/><Relationship Id="rId25" Type="http://schemas.openxmlformats.org/officeDocument/2006/relationships/hyperlink" Target="https://www.lcsc.com/product-detail/Multilayer-Ceramic-Capacitors-MLCC-SMD-SMT_Murata-Electronics-GRM1555C1H102JA01D_C76947.html" TargetMode="External"/><Relationship Id="rId46" Type="http://schemas.openxmlformats.org/officeDocument/2006/relationships/hyperlink" Target="https://www.lcsc.com/product-detail/Schottky-Barrier-Diodes-SBD_Jiangsu-Changjing-Electronics-Technology-Co-Ltd-B5819WS_C22624.html" TargetMode="External"/><Relationship Id="rId67" Type="http://schemas.openxmlformats.org/officeDocument/2006/relationships/hyperlink" Target="https://www.lcsc.com/product-detail/Automobile-Connectors_XKB-Connection-K776280WV-35-PTSNW_C5138064.html" TargetMode="External"/><Relationship Id="rId116" Type="http://schemas.openxmlformats.org/officeDocument/2006/relationships/hyperlink" Target="https://www.lcsc.com/product-detail/Chip-Resistor-Surface-Mount_YAGEO-RC0402FR-071K8L_C163481.html" TargetMode="External"/><Relationship Id="rId137" Type="http://schemas.openxmlformats.org/officeDocument/2006/relationships/hyperlink" Target="https://www.lcsc.com/product-detail/Chip-Resistor-Surface-Mount_YAGEO-RT0603BRD072K7L_C705760.html" TargetMode="External"/><Relationship Id="rId158" Type="http://schemas.openxmlformats.org/officeDocument/2006/relationships/hyperlink" Target="https://www.lcsc.com/product-detail/USB-Converters_onsemi-FUSB340TMX_C478457.html" TargetMode="External"/><Relationship Id="rId20" Type="http://schemas.openxmlformats.org/officeDocument/2006/relationships/hyperlink" Target="https://www.lcsc.com/product-detail/Multilayer-Ceramic-Capacitors-MLCC-SMD-SMT_YAGEO-CC0402KRX5R5BB475_C541466.html" TargetMode="External"/><Relationship Id="rId41" Type="http://schemas.openxmlformats.org/officeDocument/2006/relationships/hyperlink" Target="https://www.lcsc.com/product-detail/Schottky-Barrier-Diodes-SBD_MDD-Microdiode-Electronics-SS34_C8678.html" TargetMode="External"/><Relationship Id="rId62" Type="http://schemas.openxmlformats.org/officeDocument/2006/relationships/hyperlink" Target="https://www.lcsc.com/product-detail/SD-Card-Memory-Card-Connector_XUNPU-TF-109_C266617.html" TargetMode="External"/><Relationship Id="rId83" Type="http://schemas.openxmlformats.org/officeDocument/2006/relationships/hyperlink" Target="https://www.lcsc.com/product-detail/Bipolar-Transistors-BJT_Jiangsu-Changjing-Electronics-Technology-Co-Ltd-S8050-RANGE-120-200_C105433.html" TargetMode="External"/><Relationship Id="rId88" Type="http://schemas.openxmlformats.org/officeDocument/2006/relationships/hyperlink" Target="https://www.lcsc.com/product-detail/Chip-Resistor-Surface-Mount_YAGEO-RC0402FR-07100KL_C60491.html" TargetMode="External"/><Relationship Id="rId111" Type="http://schemas.openxmlformats.org/officeDocument/2006/relationships/hyperlink" Target="https://www.lcsc.com/product-detail/Chip-Resistor-Surface-Mount_YAGEO-RT0603BRE072KL_C136954.html" TargetMode="External"/><Relationship Id="rId132" Type="http://schemas.openxmlformats.org/officeDocument/2006/relationships/hyperlink" Target="https://www.lcsc.com/product-detail/Chip-Resistor-Surface-Mount_YAGEO-RC0402FR-071K5L_C114759.html" TargetMode="External"/><Relationship Id="rId153" Type="http://schemas.openxmlformats.org/officeDocument/2006/relationships/hyperlink" Target="https://www.lcsc.com/product-detail/DDR-SDRAM_Samsung-K4UBE3D4AA-MGCL_C2920257.html" TargetMode="External"/><Relationship Id="rId174" Type="http://schemas.openxmlformats.org/officeDocument/2006/relationships/drawing" Target="../drawings/drawing1.xml"/><Relationship Id="rId15" Type="http://schemas.openxmlformats.org/officeDocument/2006/relationships/hyperlink" Target="https://www.lcsc.com/product-detail/Multilayer-Ceramic-Capacitors-MLCC-SMD-SMT_YAGEO-CC0603MRX5R5BB226_C109448.html" TargetMode="External"/><Relationship Id="rId36" Type="http://schemas.openxmlformats.org/officeDocument/2006/relationships/hyperlink" Target="https://www.lcsc.com/product-detail/Multilayer-Ceramic-Capacitors-MLCC-SMD-SMT_YAGEO-CC0402KRX7R8BB333_C326974.html" TargetMode="External"/><Relationship Id="rId57" Type="http://schemas.openxmlformats.org/officeDocument/2006/relationships/hyperlink" Target="https://www.lcsc.com/product-detail/Ferrite-Beads_Murata-Electronics-BLM18PG181SN1D_C82850.html" TargetMode="External"/><Relationship Id="rId106" Type="http://schemas.openxmlformats.org/officeDocument/2006/relationships/hyperlink" Target="https://www.lcsc.com/product-detail/Chip-Resistor-Surface-Mount_YAGEO-RC0402FR-074K7L_C105871.html" TargetMode="External"/><Relationship Id="rId127" Type="http://schemas.openxmlformats.org/officeDocument/2006/relationships/hyperlink" Target="https://www.lcsc.com/product-detail/Chip-Resistor-Surface-Mount_YAGEO-RT0603BRD0722KL_C469656.html" TargetMode="External"/><Relationship Id="rId10" Type="http://schemas.openxmlformats.org/officeDocument/2006/relationships/hyperlink" Target="https://www.lcsc.com/product-detail/Multilayer-Ceramic-Capacitors-MLCC-SMD-SMT_YAGEO-CC0402JRNPO9BN101_C106200.html" TargetMode="External"/><Relationship Id="rId31" Type="http://schemas.openxmlformats.org/officeDocument/2006/relationships/hyperlink" Target="https://www.lcsc.com/product-detail/Multilayer-Ceramic-Capacitors-MLCC-SMD-SMT_YAGEO-CC0603JRNPO9BN100_C106245.html" TargetMode="External"/><Relationship Id="rId52" Type="http://schemas.openxmlformats.org/officeDocument/2006/relationships/hyperlink" Target="https://www.lcsc.com/product-detail/Zener-Diodes_Shikues-BZT52C16_C216724.html" TargetMode="External"/><Relationship Id="rId73" Type="http://schemas.openxmlformats.org/officeDocument/2006/relationships/hyperlink" Target="https://www.lcsc.com/product-detail/Power-Inductors_Sunlord-WPN4020H2R2MT_C98361.html" TargetMode="External"/><Relationship Id="rId78" Type="http://schemas.openxmlformats.org/officeDocument/2006/relationships/hyperlink" Target="https://www.lcsc.com/product-detail/Light-Emitting-Diodes-LED_Foshan-NationStar-Optoelectronics-NCD0603Y2_C89811.html" TargetMode="External"/><Relationship Id="rId94" Type="http://schemas.openxmlformats.org/officeDocument/2006/relationships/hyperlink" Target="https://www.lcsc.com/product-detail/Chip-Resistor-Surface-Mount_YAGEO-RC0603JR-070RL_C95177.html" TargetMode="External"/><Relationship Id="rId99" Type="http://schemas.openxmlformats.org/officeDocument/2006/relationships/hyperlink" Target="https://www.lcsc.com/product-detail/Chip-Resistor-Surface-Mount_YAGEO-AT0402BRD0751KL_C5455493.html" TargetMode="External"/><Relationship Id="rId101" Type="http://schemas.openxmlformats.org/officeDocument/2006/relationships/hyperlink" Target="https://www.lcsc.com/product-detail/Chip-Resistor-Surface-Mount_YAGEO-RC0402FR-070RL_C106231.html" TargetMode="External"/><Relationship Id="rId122" Type="http://schemas.openxmlformats.org/officeDocument/2006/relationships/hyperlink" Target="https://www.lcsc.com/product-detail/Chip-Resistor-Surface-Mount_YAGEO-RC0603FR-0720KL_C105575.html" TargetMode="External"/><Relationship Id="rId143" Type="http://schemas.openxmlformats.org/officeDocument/2006/relationships/hyperlink" Target="https://www.lcsc.com/product-detail/Transistor-Output-Optocoupler_Slkor-SLKORMICRO-Elec-PC817C_C2936043.html" TargetMode="External"/><Relationship Id="rId148" Type="http://schemas.openxmlformats.org/officeDocument/2006/relationships/hyperlink" Target="https://www.lcsc.com/product-detail/DC-DC-Converters_Silergy-Corp-SYR838PKC_C178249.html" TargetMode="External"/><Relationship Id="rId164" Type="http://schemas.openxmlformats.org/officeDocument/2006/relationships/hyperlink" Target="https://www.lcsc.com/product-detail/I-O-Expanders_Microchip-Tech-MCP23017T-E-SS_C558584.html" TargetMode="External"/><Relationship Id="rId169" Type="http://schemas.openxmlformats.org/officeDocument/2006/relationships/hyperlink" Target="https://www.chipsmall.com/Products/LM2917MX-8_10076096.html" TargetMode="External"/><Relationship Id="rId4" Type="http://schemas.openxmlformats.org/officeDocument/2006/relationships/hyperlink" Target="https://www.lcsc.com/product-detail/Multilayer-Ceramic-Capacitors-MLCC-SMD-SMT_Murata-Electronics-GRM21BR61H106ME43L_C2190942.html" TargetMode="External"/><Relationship Id="rId9" Type="http://schemas.openxmlformats.org/officeDocument/2006/relationships/hyperlink" Target="https://www.lcsc.com/product-detail/Multilayer-Ceramic-Capacitors-MLCC-SMD-SMT_YAGEO-CC0402FRNPO9BN560_C526981.html" TargetMode="External"/><Relationship Id="rId26" Type="http://schemas.openxmlformats.org/officeDocument/2006/relationships/hyperlink" Target="https://www.lcsc.com/product-detail/Multilayer-Ceramic-Capacitors-MLCC-SMD-SMT_YAGEO-CC1206KKX7RCBB472_C107198.html" TargetMode="External"/><Relationship Id="rId47" Type="http://schemas.openxmlformats.org/officeDocument/2006/relationships/hyperlink" Target="https://www.lcsc.com/product-detail/Electrostatic-and-Surge-Protection-TVS-ESD_WILLSEMI-Will-Semicon-ESD5304D-10-TR_C153722.html" TargetMode="External"/><Relationship Id="rId68" Type="http://schemas.openxmlformats.org/officeDocument/2006/relationships/hyperlink" Target="https://www.lcsc.com/product-detail/Power-Relays_PANASONIC-ALDP112W_C115718.html" TargetMode="External"/><Relationship Id="rId89" Type="http://schemas.openxmlformats.org/officeDocument/2006/relationships/hyperlink" Target="https://www.lcsc.com/product-detail/Chip-Resistor-Surface-Mount_YAGEO-RT0402BRE0793K1L_C853435.html" TargetMode="External"/><Relationship Id="rId112" Type="http://schemas.openxmlformats.org/officeDocument/2006/relationships/hyperlink" Target="https://www.lcsc.com/product-detail/Chip-Resistor-Surface-Mount_YAGEO-RT0402BRD07100KL_C852472.html" TargetMode="External"/><Relationship Id="rId133" Type="http://schemas.openxmlformats.org/officeDocument/2006/relationships/hyperlink" Target="https://www.lcsc.com/product-detail/Chip-Resistor-Surface-Mount_YAGEO-RT0603BRD071KL_C110776.html" TargetMode="External"/><Relationship Id="rId154" Type="http://schemas.openxmlformats.org/officeDocument/2006/relationships/hyperlink" Target="https://www.lcsc.com/product-detail/eMMC_Samsung-KLMAG1JETD-B041_C499919.html" TargetMode="External"/><Relationship Id="rId16" Type="http://schemas.openxmlformats.org/officeDocument/2006/relationships/hyperlink" Target="https://www.lcsc.com/product-detail/Multilayer-Ceramic-Capacitors-MLCC-SMD-SMT_Murata-Electronics-GCM1555C1H180GA16D_C882583.html" TargetMode="External"/><Relationship Id="rId37" Type="http://schemas.openxmlformats.org/officeDocument/2006/relationships/hyperlink" Target="https://www.lcsc.com/product-detail/Solid-Capacitors_PANASONIC-50SVPF10M_C2162323.html" TargetMode="External"/><Relationship Id="rId58" Type="http://schemas.openxmlformats.org/officeDocument/2006/relationships/hyperlink" Target="https://www.lcsc.com/product-detail/Ferrite-Beads_TDK-MMZ2012R102ATD25_C307765.html" TargetMode="External"/><Relationship Id="rId79" Type="http://schemas.openxmlformats.org/officeDocument/2006/relationships/hyperlink" Target="https://www.lcsc.com/product-detail/Light-Emitting-Diodes-LED_Foshan-NationStar-Optoelectronics-NCD0603R3_C3151730.html" TargetMode="External"/><Relationship Id="rId102" Type="http://schemas.openxmlformats.org/officeDocument/2006/relationships/hyperlink" Target="https://www.lcsc.com/product-detail/Chip-Resistor-Surface-Mount_YAGEO-RC0402FR-0751KL_C107229.html" TargetMode="External"/><Relationship Id="rId123" Type="http://schemas.openxmlformats.org/officeDocument/2006/relationships/hyperlink" Target="https://www.lcsc.com/product-detail/Chip-Resistor-Surface-Mount_YAGEO-RC0402FR-0733RL_C138002.html" TargetMode="External"/><Relationship Id="rId144" Type="http://schemas.openxmlformats.org/officeDocument/2006/relationships/hyperlink" Target="https://www.lcsc.com/product-detail/DC-DC-Converters_Texas-Instruments-TPS56637RPAR_C841386.html" TargetMode="External"/><Relationship Id="rId90" Type="http://schemas.openxmlformats.org/officeDocument/2006/relationships/hyperlink" Target="https://www.lcsc.com/product-detail/Chip-Resistor-Surface-Mount_YAGEO-RT0402BRD0730K1L_C852714.html" TargetMode="External"/><Relationship Id="rId165" Type="http://schemas.openxmlformats.org/officeDocument/2006/relationships/hyperlink" Target="https://www.lcsc.com/product-detail/I-O-Expanders_NXP-Semicon-PCA9536D-118_C2688883.html" TargetMode="External"/><Relationship Id="rId27" Type="http://schemas.openxmlformats.org/officeDocument/2006/relationships/hyperlink" Target="https://www.lcsc.com/product-detail/Multilayer-Ceramic-Capacitors-MLCC-SMD-SMT_YAGEO-CC0603KRX5R8BB225_C309478.html" TargetMode="External"/><Relationship Id="rId48" Type="http://schemas.openxmlformats.org/officeDocument/2006/relationships/hyperlink" Target="https://www.lcsc.com/product-detail/Schottky-Barrier-Diodes-SBD_MDD-Microdiode-Electronics-SS26_C14238.html" TargetMode="External"/><Relationship Id="rId69" Type="http://schemas.openxmlformats.org/officeDocument/2006/relationships/hyperlink" Target="https://www.lcsc.com/product-detail/Power-Inductors_cjiang-Changjiang-Microelectronics-Tech-FAUL1050-3R3MT_C5298289.html" TargetMode="External"/><Relationship Id="rId113" Type="http://schemas.openxmlformats.org/officeDocument/2006/relationships/hyperlink" Target="https://www.lcsc.com/product-detail/Chip-Resistor-Surface-Mount_YAGEO-RC0402FR-07240RL_C114755.html" TargetMode="External"/><Relationship Id="rId134" Type="http://schemas.openxmlformats.org/officeDocument/2006/relationships/hyperlink" Target="https://www.lcsc.com/product-detail/Chip-Resistor-Surface-Mount_YAGEO-RC0603FR-07470RL_C114669.html" TargetMode="External"/><Relationship Id="rId80" Type="http://schemas.openxmlformats.org/officeDocument/2006/relationships/hyperlink" Target="https://www.lcsc.com/product-detail/Light-Emitting-Diodes-LED_Foshan-NationStar-Optoelectronics-NCD0603G2_C87326.html" TargetMode="External"/><Relationship Id="rId155" Type="http://schemas.openxmlformats.org/officeDocument/2006/relationships/hyperlink" Target="https://www.lcsc.com/product-detail/NOR-FLASH_Winbond-Elec-W25Q128JWSIQ_C2763561.html" TargetMode="External"/><Relationship Id="rId17" Type="http://schemas.openxmlformats.org/officeDocument/2006/relationships/hyperlink" Target="https://www.lcsc.com/product-detail/Multilayer-Ceramic-Capacitors-MLCC-SMD-SMT_YAGEO-CC0402KRX5R6BB475_C326586.html" TargetMode="External"/><Relationship Id="rId38" Type="http://schemas.openxmlformats.org/officeDocument/2006/relationships/hyperlink" Target="https://www.lcsc.com/product-detail/Multilayer-Ceramic-Capacitors-MLCC-SMD-SMT_YAGEO-CC0603JRNPO9BN101_C14665.html" TargetMode="External"/><Relationship Id="rId59" Type="http://schemas.openxmlformats.org/officeDocument/2006/relationships/hyperlink" Target="https://www.lcsc.com/product-detail/Pin-Headers_XKB-Connection-X6511WV-02H-C60D30_C706874.html" TargetMode="External"/><Relationship Id="rId103" Type="http://schemas.openxmlformats.org/officeDocument/2006/relationships/hyperlink" Target="https://www.lcsc.com/product-detail/Chip-Resistor-Surface-Mount_YAGEO-RC0201FR-07120RL_C295718.html" TargetMode="External"/><Relationship Id="rId124" Type="http://schemas.openxmlformats.org/officeDocument/2006/relationships/hyperlink" Target="https://www.lcsc.com/product-detail/Chip-Resistor-Surface-Mount_YAGEO-RT0402BRD0715KL_C852545.html" TargetMode="External"/><Relationship Id="rId70" Type="http://schemas.openxmlformats.org/officeDocument/2006/relationships/hyperlink" Target="https://www.lcsc.com/product-detail/Power-Inductors_YJYCOIN-YSPI1050-4R7M_C497895.html" TargetMode="External"/><Relationship Id="rId91" Type="http://schemas.openxmlformats.org/officeDocument/2006/relationships/hyperlink" Target="https://www.lcsc.com/product-detail/Chip-Resistor-Surface-Mount_YAGEO-RC0402FR-0720KL_C93942.html" TargetMode="External"/><Relationship Id="rId145" Type="http://schemas.openxmlformats.org/officeDocument/2006/relationships/hyperlink" Target="https://www.lcsc.com/product-detail/DC-DC-Converters_Diodes-Incorporated-AP63300WU-7_C2158012.html" TargetMode="External"/><Relationship Id="rId166" Type="http://schemas.openxmlformats.org/officeDocument/2006/relationships/hyperlink" Target="https://www.lcsc.com/product-detail/Crystals_TAITIEN-Elec-XDMCZLNDDF-0-032768MHZ_C52157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99"/>
  <sheetViews>
    <sheetView tabSelected="1" topLeftCell="A22" workbookViewId="0">
      <selection activeCell="H37" sqref="H37"/>
    </sheetView>
  </sheetViews>
  <sheetFormatPr defaultRowHeight="15" x14ac:dyDescent="0.25"/>
  <cols>
    <col min="2" max="2" width="4" style="10" bestFit="1" customWidth="1"/>
    <col min="3" max="3" width="18" style="10" bestFit="1" customWidth="1"/>
    <col min="4" max="4" width="33.8554687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11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3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55"/>
      <c r="L1" s="55"/>
      <c r="M1" s="55"/>
      <c r="N1" s="55"/>
      <c r="O1" s="55"/>
      <c r="P1" s="55"/>
      <c r="Q1" s="55"/>
      <c r="R1" s="55"/>
      <c r="S1" s="56"/>
    </row>
    <row r="2" spans="1:19" ht="32.25" thickBot="1" x14ac:dyDescent="0.3">
      <c r="A2" s="1"/>
      <c r="B2" s="7"/>
      <c r="C2" s="13"/>
      <c r="D2" s="4" t="s">
        <v>0</v>
      </c>
      <c r="E2" s="4"/>
      <c r="F2" s="40" t="s">
        <v>908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  <c r="S2" s="59"/>
    </row>
    <row r="3" spans="1:19" ht="16.5" thickBot="1" x14ac:dyDescent="0.3">
      <c r="A3" s="1"/>
      <c r="B3" s="8"/>
      <c r="C3" s="26"/>
      <c r="D3" s="39" t="s">
        <v>1</v>
      </c>
      <c r="E3" s="27"/>
      <c r="F3" s="41" t="s">
        <v>909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  <c r="S3" s="60"/>
    </row>
    <row r="4" spans="1:19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  <c r="S4" s="60"/>
    </row>
    <row r="5" spans="1:19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  <c r="S5" s="60"/>
    </row>
    <row r="6" spans="1:19" ht="15.75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  <c r="S6" s="61"/>
    </row>
    <row r="7" spans="1:19" ht="15.75" thickBot="1" x14ac:dyDescent="0.3">
      <c r="A7" s="1"/>
      <c r="B7" s="12" t="s">
        <v>2</v>
      </c>
      <c r="C7" s="12" t="s">
        <v>5</v>
      </c>
      <c r="D7" s="12" t="s">
        <v>37</v>
      </c>
      <c r="E7" s="12" t="s">
        <v>215</v>
      </c>
      <c r="F7" s="12" t="s">
        <v>387</v>
      </c>
      <c r="G7" s="12" t="s">
        <v>459</v>
      </c>
      <c r="H7" s="12" t="s">
        <v>612</v>
      </c>
      <c r="I7" s="12" t="s">
        <v>910</v>
      </c>
      <c r="J7" s="12" t="s">
        <v>666</v>
      </c>
      <c r="K7" s="12" t="s">
        <v>911</v>
      </c>
      <c r="L7" s="12" t="s">
        <v>907</v>
      </c>
      <c r="M7" s="12" t="s">
        <v>912</v>
      </c>
      <c r="N7" s="12" t="s">
        <v>913</v>
      </c>
      <c r="O7" s="12" t="s">
        <v>914</v>
      </c>
      <c r="P7" s="12" t="s">
        <v>915</v>
      </c>
      <c r="Q7" s="12" t="s">
        <v>916</v>
      </c>
      <c r="R7" s="12" t="s">
        <v>917</v>
      </c>
      <c r="S7" s="12" t="s">
        <v>918</v>
      </c>
    </row>
    <row r="8" spans="1:19" s="53" customFormat="1" x14ac:dyDescent="0.25">
      <c r="A8" s="51"/>
      <c r="B8" s="16">
        <f>ROW(B8) - ROW($B$7)</f>
        <v>1</v>
      </c>
      <c r="C8" s="22" t="s">
        <v>6</v>
      </c>
      <c r="D8" s="14" t="s">
        <v>38</v>
      </c>
      <c r="E8" s="14" t="s">
        <v>216</v>
      </c>
      <c r="F8" s="14" t="s">
        <v>388</v>
      </c>
      <c r="G8" s="14" t="s">
        <v>388</v>
      </c>
      <c r="H8" s="14" t="s">
        <v>613</v>
      </c>
      <c r="I8" s="14" t="s">
        <v>919</v>
      </c>
      <c r="J8" s="14" t="s">
        <v>667</v>
      </c>
      <c r="K8" s="14" t="s">
        <v>834</v>
      </c>
      <c r="L8" s="14">
        <v>1</v>
      </c>
      <c r="M8" s="14">
        <f>L8*5</f>
        <v>5</v>
      </c>
      <c r="N8" s="14">
        <v>6</v>
      </c>
      <c r="O8" s="44" t="s">
        <v>921</v>
      </c>
      <c r="P8" s="15">
        <v>1.9242999999999999</v>
      </c>
      <c r="Q8" s="15">
        <f>P8*N8</f>
        <v>11.5458</v>
      </c>
      <c r="R8" s="14"/>
      <c r="S8" s="52"/>
    </row>
    <row r="9" spans="1:19" s="53" customFormat="1" ht="24" x14ac:dyDescent="0.25">
      <c r="A9" s="51"/>
      <c r="B9" s="17">
        <f t="shared" ref="B9:B183" si="0">ROW(B9) - ROW($B$7)</f>
        <v>2</v>
      </c>
      <c r="C9" s="23" t="s">
        <v>7</v>
      </c>
      <c r="D9" s="20" t="s">
        <v>39</v>
      </c>
      <c r="E9" s="20" t="s">
        <v>217</v>
      </c>
      <c r="F9" s="20" t="s">
        <v>389</v>
      </c>
      <c r="G9" s="20" t="s">
        <v>460</v>
      </c>
      <c r="H9" s="20" t="s">
        <v>614</v>
      </c>
      <c r="I9" s="20" t="s">
        <v>919</v>
      </c>
      <c r="J9" s="20" t="s">
        <v>668</v>
      </c>
      <c r="K9" s="20" t="s">
        <v>919</v>
      </c>
      <c r="L9" s="20">
        <v>1</v>
      </c>
      <c r="M9" s="20">
        <f t="shared" ref="M9" si="1">L9*5</f>
        <v>5</v>
      </c>
      <c r="N9" s="20">
        <v>10</v>
      </c>
      <c r="O9" s="45" t="s">
        <v>921</v>
      </c>
      <c r="P9" s="21">
        <v>9.5100000000000004E-2</v>
      </c>
      <c r="Q9" s="21">
        <f t="shared" ref="Q9" si="2">P9*N9</f>
        <v>0.95100000000000007</v>
      </c>
      <c r="R9" s="20"/>
      <c r="S9" s="20"/>
    </row>
    <row r="10" spans="1:19" s="53" customFormat="1" ht="24" x14ac:dyDescent="0.25">
      <c r="A10" s="51"/>
      <c r="B10" s="16">
        <f>ROW(B10) - ROW($B$7)</f>
        <v>3</v>
      </c>
      <c r="C10" s="22" t="s">
        <v>8</v>
      </c>
      <c r="D10" s="14" t="s">
        <v>40</v>
      </c>
      <c r="E10" s="14" t="s">
        <v>218</v>
      </c>
      <c r="F10" s="14" t="s">
        <v>933</v>
      </c>
      <c r="G10" s="14" t="s">
        <v>390</v>
      </c>
      <c r="H10" s="14" t="s">
        <v>615</v>
      </c>
      <c r="I10" s="20" t="s">
        <v>919</v>
      </c>
      <c r="J10" s="14" t="s">
        <v>669</v>
      </c>
      <c r="K10" s="14" t="s">
        <v>919</v>
      </c>
      <c r="L10" s="14">
        <v>1</v>
      </c>
      <c r="M10" s="14">
        <f>L10*5</f>
        <v>5</v>
      </c>
      <c r="N10" s="14">
        <v>6</v>
      </c>
      <c r="O10" s="45" t="s">
        <v>921</v>
      </c>
      <c r="P10" s="15">
        <v>0.8296</v>
      </c>
      <c r="Q10" s="15">
        <f>P10*N10</f>
        <v>4.9775999999999998</v>
      </c>
      <c r="R10" s="14"/>
      <c r="S10" s="52"/>
    </row>
    <row r="11" spans="1:19" s="53" customFormat="1" x14ac:dyDescent="0.25">
      <c r="A11" s="51"/>
      <c r="B11" s="17">
        <f t="shared" si="0"/>
        <v>4</v>
      </c>
      <c r="C11" s="22" t="s">
        <v>9</v>
      </c>
      <c r="D11" s="20" t="s">
        <v>41</v>
      </c>
      <c r="E11" s="20" t="s">
        <v>219</v>
      </c>
      <c r="F11" s="20" t="s">
        <v>391</v>
      </c>
      <c r="G11" s="20" t="s">
        <v>461</v>
      </c>
      <c r="H11" s="20" t="s">
        <v>616</v>
      </c>
      <c r="I11" s="20" t="s">
        <v>919</v>
      </c>
      <c r="J11" s="20" t="s">
        <v>670</v>
      </c>
      <c r="K11" s="20" t="s">
        <v>835</v>
      </c>
      <c r="L11" s="20">
        <v>8</v>
      </c>
      <c r="M11" s="20">
        <f t="shared" ref="M11" si="3">L11*5</f>
        <v>40</v>
      </c>
      <c r="N11" s="20">
        <v>45</v>
      </c>
      <c r="O11" s="45" t="s">
        <v>921</v>
      </c>
      <c r="P11" s="21">
        <v>8.5400000000000004E-2</v>
      </c>
      <c r="Q11" s="21">
        <f t="shared" ref="Q11" si="4">P11*N11</f>
        <v>3.843</v>
      </c>
      <c r="R11" s="20"/>
      <c r="S11" s="20"/>
    </row>
    <row r="12" spans="1:19" s="53" customFormat="1" ht="24" x14ac:dyDescent="0.25">
      <c r="A12" s="51"/>
      <c r="B12" s="16">
        <f>ROW(B12) - ROW($B$7)</f>
        <v>5</v>
      </c>
      <c r="C12" s="22" t="s">
        <v>9</v>
      </c>
      <c r="D12" s="14" t="s">
        <v>42</v>
      </c>
      <c r="E12" s="14" t="s">
        <v>220</v>
      </c>
      <c r="F12" s="14" t="s">
        <v>392</v>
      </c>
      <c r="G12" s="14" t="s">
        <v>462</v>
      </c>
      <c r="H12" s="14" t="s">
        <v>616</v>
      </c>
      <c r="I12" s="20" t="s">
        <v>919</v>
      </c>
      <c r="J12" s="14" t="s">
        <v>671</v>
      </c>
      <c r="K12" s="14" t="s">
        <v>836</v>
      </c>
      <c r="L12" s="14">
        <v>15</v>
      </c>
      <c r="M12" s="14">
        <f>L12*5</f>
        <v>75</v>
      </c>
      <c r="N12" s="14">
        <v>100</v>
      </c>
      <c r="O12" s="45" t="s">
        <v>921</v>
      </c>
      <c r="P12" s="15">
        <v>4.1999999999999997E-3</v>
      </c>
      <c r="Q12" s="15">
        <f>P12*N12</f>
        <v>0.42</v>
      </c>
      <c r="R12" s="14"/>
      <c r="S12" s="52"/>
    </row>
    <row r="13" spans="1:19" s="53" customFormat="1" x14ac:dyDescent="0.25">
      <c r="A13" s="51"/>
      <c r="B13" s="17">
        <f t="shared" si="0"/>
        <v>6</v>
      </c>
      <c r="C13" s="23" t="s">
        <v>9</v>
      </c>
      <c r="D13" s="20" t="s">
        <v>43</v>
      </c>
      <c r="E13" s="20" t="s">
        <v>221</v>
      </c>
      <c r="F13" s="20" t="s">
        <v>391</v>
      </c>
      <c r="G13" s="20" t="s">
        <v>463</v>
      </c>
      <c r="H13" s="20" t="s">
        <v>617</v>
      </c>
      <c r="I13" s="20" t="s">
        <v>919</v>
      </c>
      <c r="J13" s="20" t="s">
        <v>672</v>
      </c>
      <c r="K13" s="20" t="s">
        <v>837</v>
      </c>
      <c r="L13" s="20">
        <v>1</v>
      </c>
      <c r="M13" s="20">
        <f t="shared" ref="M13" si="5">L13*5</f>
        <v>5</v>
      </c>
      <c r="N13" s="20">
        <v>20</v>
      </c>
      <c r="O13" s="45" t="s">
        <v>921</v>
      </c>
      <c r="P13" s="15">
        <v>2.63E-2</v>
      </c>
      <c r="Q13" s="21">
        <f t="shared" ref="Q13" si="6">P13*N13</f>
        <v>0.52600000000000002</v>
      </c>
      <c r="R13" s="20"/>
      <c r="S13" s="20"/>
    </row>
    <row r="14" spans="1:19" s="53" customFormat="1" ht="36" x14ac:dyDescent="0.25">
      <c r="A14" s="51"/>
      <c r="B14" s="16">
        <f>ROW(B14) - ROW($B$7)</f>
        <v>7</v>
      </c>
      <c r="C14" s="22" t="s">
        <v>9</v>
      </c>
      <c r="D14" s="14" t="s">
        <v>44</v>
      </c>
      <c r="E14" s="14" t="s">
        <v>222</v>
      </c>
      <c r="F14" s="14" t="s">
        <v>933</v>
      </c>
      <c r="G14" s="14" t="s">
        <v>393</v>
      </c>
      <c r="H14" s="14" t="s">
        <v>618</v>
      </c>
      <c r="I14" s="20" t="s">
        <v>919</v>
      </c>
      <c r="J14" s="14" t="s">
        <v>673</v>
      </c>
      <c r="K14" s="14" t="s">
        <v>838</v>
      </c>
      <c r="L14" s="14">
        <v>2</v>
      </c>
      <c r="M14" s="14">
        <f>L14*5</f>
        <v>10</v>
      </c>
      <c r="N14" s="14">
        <v>20</v>
      </c>
      <c r="O14" s="45" t="s">
        <v>921</v>
      </c>
      <c r="P14" s="15">
        <v>5.6800000000000003E-2</v>
      </c>
      <c r="Q14" s="15">
        <f>P14*N14</f>
        <v>1.1360000000000001</v>
      </c>
      <c r="R14" s="14"/>
      <c r="S14" s="52"/>
    </row>
    <row r="15" spans="1:19" s="53" customFormat="1" x14ac:dyDescent="0.25">
      <c r="A15" s="51"/>
      <c r="B15" s="17">
        <f t="shared" si="0"/>
        <v>8</v>
      </c>
      <c r="C15" s="22" t="s">
        <v>9</v>
      </c>
      <c r="D15" s="20" t="s">
        <v>45</v>
      </c>
      <c r="E15" s="20" t="s">
        <v>223</v>
      </c>
      <c r="F15" s="20" t="s">
        <v>392</v>
      </c>
      <c r="G15" s="20" t="s">
        <v>464</v>
      </c>
      <c r="H15" s="20" t="s">
        <v>617</v>
      </c>
      <c r="I15" s="20" t="s">
        <v>919</v>
      </c>
      <c r="J15" s="20" t="s">
        <v>674</v>
      </c>
      <c r="K15" s="20" t="s">
        <v>839</v>
      </c>
      <c r="L15" s="20">
        <v>2</v>
      </c>
      <c r="M15" s="20">
        <f t="shared" ref="M15" si="7">L15*5</f>
        <v>10</v>
      </c>
      <c r="N15" s="20">
        <v>100</v>
      </c>
      <c r="O15" s="45" t="s">
        <v>921</v>
      </c>
      <c r="P15" s="15">
        <v>6.8999999999999999E-3</v>
      </c>
      <c r="Q15" s="21">
        <f t="shared" ref="Q15" si="8">P15*N15</f>
        <v>0.69</v>
      </c>
      <c r="R15" s="20"/>
      <c r="S15" s="20"/>
    </row>
    <row r="16" spans="1:19" s="53" customFormat="1" x14ac:dyDescent="0.25">
      <c r="A16" s="51"/>
      <c r="B16" s="16">
        <f>ROW(B16) - ROW($B$7)</f>
        <v>9</v>
      </c>
      <c r="C16" s="22" t="s">
        <v>9</v>
      </c>
      <c r="D16" s="14" t="s">
        <v>46</v>
      </c>
      <c r="E16" s="14" t="s">
        <v>224</v>
      </c>
      <c r="F16" s="14" t="s">
        <v>392</v>
      </c>
      <c r="G16" s="14" t="s">
        <v>465</v>
      </c>
      <c r="H16" s="14" t="s">
        <v>617</v>
      </c>
      <c r="I16" s="20" t="s">
        <v>919</v>
      </c>
      <c r="J16" s="14" t="s">
        <v>675</v>
      </c>
      <c r="K16" s="14" t="s">
        <v>840</v>
      </c>
      <c r="L16" s="14">
        <v>2</v>
      </c>
      <c r="M16" s="14">
        <f>L16*5</f>
        <v>10</v>
      </c>
      <c r="N16" s="14">
        <v>100</v>
      </c>
      <c r="O16" s="45" t="s">
        <v>921</v>
      </c>
      <c r="P16" s="15">
        <v>3.2000000000000002E-3</v>
      </c>
      <c r="Q16" s="15">
        <f>P16*N16</f>
        <v>0.32</v>
      </c>
      <c r="R16" s="14"/>
      <c r="S16" s="52"/>
    </row>
    <row r="17" spans="1:19" s="53" customFormat="1" x14ac:dyDescent="0.25">
      <c r="A17" s="51"/>
      <c r="B17" s="17">
        <f t="shared" si="0"/>
        <v>10</v>
      </c>
      <c r="C17" s="23" t="s">
        <v>9</v>
      </c>
      <c r="D17" s="20" t="s">
        <v>47</v>
      </c>
      <c r="E17" s="20" t="s">
        <v>225</v>
      </c>
      <c r="F17" s="20" t="s">
        <v>392</v>
      </c>
      <c r="G17" s="20" t="s">
        <v>466</v>
      </c>
      <c r="H17" s="20" t="s">
        <v>617</v>
      </c>
      <c r="I17" s="20" t="s">
        <v>919</v>
      </c>
      <c r="J17" s="20" t="s">
        <v>676</v>
      </c>
      <c r="K17" s="20" t="s">
        <v>841</v>
      </c>
      <c r="L17" s="20">
        <v>1</v>
      </c>
      <c r="M17" s="20">
        <f t="shared" ref="M17" si="9">L17*5</f>
        <v>5</v>
      </c>
      <c r="N17" s="20">
        <v>100</v>
      </c>
      <c r="O17" s="45" t="s">
        <v>921</v>
      </c>
      <c r="P17" s="15">
        <v>1E-3</v>
      </c>
      <c r="Q17" s="21">
        <f t="shared" ref="Q17" si="10">P17*N17</f>
        <v>0.1</v>
      </c>
      <c r="R17" s="20"/>
      <c r="S17" s="20"/>
    </row>
    <row r="18" spans="1:19" s="53" customFormat="1" x14ac:dyDescent="0.25">
      <c r="A18" s="51"/>
      <c r="B18" s="16">
        <f>ROW(B18) - ROW($B$7)</f>
        <v>11</v>
      </c>
      <c r="C18" s="22" t="s">
        <v>9</v>
      </c>
      <c r="D18" s="14" t="s">
        <v>48</v>
      </c>
      <c r="E18" s="14" t="s">
        <v>226</v>
      </c>
      <c r="F18" s="14" t="s">
        <v>394</v>
      </c>
      <c r="G18" s="14" t="s">
        <v>467</v>
      </c>
      <c r="H18" s="14" t="s">
        <v>617</v>
      </c>
      <c r="I18" s="20" t="s">
        <v>919</v>
      </c>
      <c r="J18" s="14" t="s">
        <v>677</v>
      </c>
      <c r="K18" s="14" t="s">
        <v>842</v>
      </c>
      <c r="L18" s="14">
        <v>8</v>
      </c>
      <c r="M18" s="14">
        <f>L18*5</f>
        <v>40</v>
      </c>
      <c r="N18" s="14">
        <v>50</v>
      </c>
      <c r="O18" s="45" t="s">
        <v>921</v>
      </c>
      <c r="P18" s="15">
        <v>3.9300000000000002E-2</v>
      </c>
      <c r="Q18" s="15">
        <f>P18*N18</f>
        <v>1.9650000000000001</v>
      </c>
      <c r="R18" s="14"/>
      <c r="S18" s="52"/>
    </row>
    <row r="19" spans="1:19" s="53" customFormat="1" x14ac:dyDescent="0.25">
      <c r="A19" s="51"/>
      <c r="B19" s="17">
        <f t="shared" si="0"/>
        <v>12</v>
      </c>
      <c r="C19" s="23" t="s">
        <v>9</v>
      </c>
      <c r="D19" s="20" t="s">
        <v>49</v>
      </c>
      <c r="E19" s="20" t="s">
        <v>227</v>
      </c>
      <c r="F19" s="20" t="s">
        <v>395</v>
      </c>
      <c r="G19" s="20" t="s">
        <v>468</v>
      </c>
      <c r="H19" s="20" t="s">
        <v>616</v>
      </c>
      <c r="I19" s="20" t="s">
        <v>919</v>
      </c>
      <c r="J19" s="20" t="s">
        <v>678</v>
      </c>
      <c r="K19" s="20" t="s">
        <v>843</v>
      </c>
      <c r="L19" s="20">
        <v>6</v>
      </c>
      <c r="M19" s="20">
        <f t="shared" ref="M19" si="11">L19*5</f>
        <v>30</v>
      </c>
      <c r="N19" s="20">
        <v>35</v>
      </c>
      <c r="O19" s="45" t="s">
        <v>921</v>
      </c>
      <c r="P19" s="15">
        <v>0.28210000000000002</v>
      </c>
      <c r="Q19" s="21">
        <f t="shared" ref="Q19" si="12">P19*N19</f>
        <v>9.8734999999999999</v>
      </c>
      <c r="R19" s="20"/>
      <c r="S19" s="20"/>
    </row>
    <row r="20" spans="1:19" s="53" customFormat="1" ht="24" x14ac:dyDescent="0.25">
      <c r="A20" s="51"/>
      <c r="B20" s="16">
        <f>ROW(B20) - ROW($B$7)</f>
        <v>13</v>
      </c>
      <c r="C20" s="22" t="s">
        <v>9</v>
      </c>
      <c r="D20" s="14" t="s">
        <v>50</v>
      </c>
      <c r="E20" s="14" t="s">
        <v>228</v>
      </c>
      <c r="F20" s="14" t="s">
        <v>394</v>
      </c>
      <c r="G20" s="14" t="s">
        <v>469</v>
      </c>
      <c r="H20" s="14" t="s">
        <v>617</v>
      </c>
      <c r="I20" s="20" t="s">
        <v>919</v>
      </c>
      <c r="J20" s="14" t="s">
        <v>679</v>
      </c>
      <c r="K20" s="14" t="s">
        <v>835</v>
      </c>
      <c r="L20" s="14">
        <v>14</v>
      </c>
      <c r="M20" s="14">
        <f>L20*5</f>
        <v>70</v>
      </c>
      <c r="N20" s="14">
        <v>80</v>
      </c>
      <c r="O20" s="45" t="s">
        <v>921</v>
      </c>
      <c r="P20" s="15">
        <v>2.75E-2</v>
      </c>
      <c r="Q20" s="15">
        <f>P20*N20</f>
        <v>2.2000000000000002</v>
      </c>
      <c r="R20" s="14"/>
      <c r="S20" s="52"/>
    </row>
    <row r="21" spans="1:19" s="53" customFormat="1" ht="120" x14ac:dyDescent="0.25">
      <c r="A21" s="51"/>
      <c r="B21" s="17">
        <f t="shared" si="0"/>
        <v>14</v>
      </c>
      <c r="C21" s="23" t="s">
        <v>9</v>
      </c>
      <c r="D21" s="20" t="s">
        <v>51</v>
      </c>
      <c r="E21" s="20" t="s">
        <v>229</v>
      </c>
      <c r="F21" s="20" t="s">
        <v>392</v>
      </c>
      <c r="G21" s="20" t="s">
        <v>470</v>
      </c>
      <c r="H21" s="20" t="s">
        <v>617</v>
      </c>
      <c r="I21" s="20" t="s">
        <v>919</v>
      </c>
      <c r="J21" s="20" t="s">
        <v>680</v>
      </c>
      <c r="K21" s="20" t="s">
        <v>836</v>
      </c>
      <c r="L21" s="20">
        <v>66</v>
      </c>
      <c r="M21" s="20">
        <f t="shared" ref="M21" si="13">L21*5</f>
        <v>330</v>
      </c>
      <c r="N21" s="20">
        <v>400</v>
      </c>
      <c r="O21" s="45" t="s">
        <v>921</v>
      </c>
      <c r="P21" s="15">
        <v>1E-3</v>
      </c>
      <c r="Q21" s="21">
        <f t="shared" ref="Q21" si="14">P21*N21</f>
        <v>0.4</v>
      </c>
      <c r="R21" s="20"/>
      <c r="S21" s="20"/>
    </row>
    <row r="22" spans="1:19" s="53" customFormat="1" ht="36" x14ac:dyDescent="0.25">
      <c r="A22" s="51"/>
      <c r="B22" s="16">
        <f>ROW(B22) - ROW($B$7)</f>
        <v>15</v>
      </c>
      <c r="C22" s="23" t="s">
        <v>9</v>
      </c>
      <c r="D22" s="14" t="s">
        <v>52</v>
      </c>
      <c r="E22" s="14" t="s">
        <v>230</v>
      </c>
      <c r="F22" s="14" t="s">
        <v>394</v>
      </c>
      <c r="G22" s="14" t="s">
        <v>471</v>
      </c>
      <c r="H22" s="14" t="s">
        <v>617</v>
      </c>
      <c r="I22" s="20" t="s">
        <v>919</v>
      </c>
      <c r="J22" s="14" t="s">
        <v>681</v>
      </c>
      <c r="K22" s="14" t="s">
        <v>842</v>
      </c>
      <c r="L22" s="14">
        <v>21</v>
      </c>
      <c r="M22" s="14">
        <f>L22*5</f>
        <v>105</v>
      </c>
      <c r="N22" s="14">
        <v>150</v>
      </c>
      <c r="O22" s="45" t="s">
        <v>921</v>
      </c>
      <c r="P22" s="15">
        <v>2.1299999999999999E-2</v>
      </c>
      <c r="Q22" s="15">
        <f>P22*N22</f>
        <v>3.1949999999999998</v>
      </c>
      <c r="R22" s="14"/>
      <c r="S22" s="52"/>
    </row>
    <row r="23" spans="1:19" s="53" customFormat="1" x14ac:dyDescent="0.25">
      <c r="A23" s="51"/>
      <c r="B23" s="17">
        <f t="shared" si="0"/>
        <v>16</v>
      </c>
      <c r="C23" s="23" t="s">
        <v>9</v>
      </c>
      <c r="D23" s="20" t="s">
        <v>53</v>
      </c>
      <c r="E23" s="20" t="s">
        <v>231</v>
      </c>
      <c r="F23" s="20" t="s">
        <v>392</v>
      </c>
      <c r="G23" s="20" t="s">
        <v>472</v>
      </c>
      <c r="H23" s="20" t="s">
        <v>616</v>
      </c>
      <c r="I23" s="20" t="s">
        <v>919</v>
      </c>
      <c r="J23" s="20" t="s">
        <v>682</v>
      </c>
      <c r="K23" s="20" t="s">
        <v>844</v>
      </c>
      <c r="L23" s="20">
        <v>2</v>
      </c>
      <c r="M23" s="20">
        <f t="shared" ref="M23" si="15">L23*5</f>
        <v>10</v>
      </c>
      <c r="N23" s="20">
        <v>20</v>
      </c>
      <c r="O23" s="45" t="s">
        <v>921</v>
      </c>
      <c r="P23" s="15">
        <v>2.2200000000000001E-2</v>
      </c>
      <c r="Q23" s="21">
        <f t="shared" ref="Q23" si="16">P23*N23</f>
        <v>0.44400000000000001</v>
      </c>
      <c r="R23" s="20"/>
      <c r="S23" s="20"/>
    </row>
    <row r="24" spans="1:19" s="53" customFormat="1" x14ac:dyDescent="0.25">
      <c r="A24" s="51"/>
      <c r="B24" s="16">
        <f>ROW(B24) - ROW($B$7)</f>
        <v>17</v>
      </c>
      <c r="C24" s="23" t="s">
        <v>9</v>
      </c>
      <c r="D24" s="14" t="s">
        <v>54</v>
      </c>
      <c r="E24" s="14" t="s">
        <v>232</v>
      </c>
      <c r="F24" s="14" t="s">
        <v>392</v>
      </c>
      <c r="G24" s="14" t="s">
        <v>473</v>
      </c>
      <c r="H24" s="14" t="s">
        <v>617</v>
      </c>
      <c r="I24" s="20" t="s">
        <v>919</v>
      </c>
      <c r="J24" s="14" t="s">
        <v>683</v>
      </c>
      <c r="K24" s="14" t="s">
        <v>845</v>
      </c>
      <c r="L24" s="14">
        <v>4</v>
      </c>
      <c r="M24" s="14">
        <f>L24*5</f>
        <v>20</v>
      </c>
      <c r="N24" s="14">
        <v>50</v>
      </c>
      <c r="O24" s="45" t="s">
        <v>921</v>
      </c>
      <c r="P24" s="15">
        <v>1.6400000000000001E-2</v>
      </c>
      <c r="Q24" s="15">
        <f>P24*N24</f>
        <v>0.82000000000000006</v>
      </c>
      <c r="R24" s="14"/>
      <c r="S24" s="52"/>
    </row>
    <row r="25" spans="1:19" s="53" customFormat="1" ht="72" x14ac:dyDescent="0.25">
      <c r="A25" s="51"/>
      <c r="B25" s="17">
        <f t="shared" si="0"/>
        <v>18</v>
      </c>
      <c r="C25" s="23" t="s">
        <v>9</v>
      </c>
      <c r="D25" s="20" t="s">
        <v>55</v>
      </c>
      <c r="E25" s="20" t="s">
        <v>233</v>
      </c>
      <c r="F25" s="20" t="s">
        <v>392</v>
      </c>
      <c r="G25" s="20" t="s">
        <v>474</v>
      </c>
      <c r="H25" s="20" t="s">
        <v>617</v>
      </c>
      <c r="I25" s="20" t="s">
        <v>919</v>
      </c>
      <c r="J25" s="20" t="s">
        <v>684</v>
      </c>
      <c r="K25" s="20" t="s">
        <v>839</v>
      </c>
      <c r="L25" s="20">
        <v>42</v>
      </c>
      <c r="M25" s="20">
        <f t="shared" ref="M25" si="17">L25*5</f>
        <v>210</v>
      </c>
      <c r="N25" s="20">
        <v>300</v>
      </c>
      <c r="O25" s="45" t="s">
        <v>921</v>
      </c>
      <c r="P25" s="15">
        <v>2.3999999999999998E-3</v>
      </c>
      <c r="Q25" s="21">
        <f t="shared" ref="Q25" si="18">P25*N25</f>
        <v>0.72</v>
      </c>
      <c r="R25" s="20"/>
      <c r="S25" s="20"/>
    </row>
    <row r="26" spans="1:19" s="53" customFormat="1" x14ac:dyDescent="0.25">
      <c r="A26" s="51"/>
      <c r="B26" s="16">
        <f>ROW(B26) - ROW($B$7)</f>
        <v>19</v>
      </c>
      <c r="C26" s="22" t="s">
        <v>9</v>
      </c>
      <c r="D26" s="14" t="s">
        <v>56</v>
      </c>
      <c r="E26" s="14" t="s">
        <v>234</v>
      </c>
      <c r="F26" s="14" t="s">
        <v>392</v>
      </c>
      <c r="G26" s="14" t="s">
        <v>475</v>
      </c>
      <c r="H26" s="14" t="s">
        <v>619</v>
      </c>
      <c r="I26" s="20" t="s">
        <v>919</v>
      </c>
      <c r="J26" s="14" t="s">
        <v>685</v>
      </c>
      <c r="K26" s="14" t="s">
        <v>837</v>
      </c>
      <c r="L26" s="14">
        <v>3</v>
      </c>
      <c r="M26" s="14">
        <f>L26*5</f>
        <v>15</v>
      </c>
      <c r="N26" s="14">
        <v>20</v>
      </c>
      <c r="O26" s="45" t="s">
        <v>921</v>
      </c>
      <c r="P26" s="15">
        <v>2.7099999999999999E-2</v>
      </c>
      <c r="Q26" s="15">
        <f>P26*N26</f>
        <v>0.54200000000000004</v>
      </c>
      <c r="R26" s="14"/>
      <c r="S26" s="52"/>
    </row>
    <row r="27" spans="1:19" s="53" customFormat="1" ht="24" x14ac:dyDescent="0.25">
      <c r="A27" s="51"/>
      <c r="B27" s="17">
        <f t="shared" si="0"/>
        <v>20</v>
      </c>
      <c r="C27" s="23" t="s">
        <v>9</v>
      </c>
      <c r="D27" s="20" t="s">
        <v>57</v>
      </c>
      <c r="E27" s="20" t="s">
        <v>235</v>
      </c>
      <c r="F27" s="20" t="s">
        <v>392</v>
      </c>
      <c r="G27" s="20" t="s">
        <v>476</v>
      </c>
      <c r="H27" s="20" t="s">
        <v>617</v>
      </c>
      <c r="I27" s="20" t="s">
        <v>919</v>
      </c>
      <c r="J27" s="20" t="s">
        <v>686</v>
      </c>
      <c r="K27" s="20" t="s">
        <v>845</v>
      </c>
      <c r="L27" s="20">
        <v>15</v>
      </c>
      <c r="M27" s="20">
        <f t="shared" ref="M27" si="19">L27*5</f>
        <v>75</v>
      </c>
      <c r="N27" s="20">
        <v>100</v>
      </c>
      <c r="O27" s="45" t="s">
        <v>921</v>
      </c>
      <c r="P27" s="15">
        <v>1.24E-2</v>
      </c>
      <c r="Q27" s="21">
        <f t="shared" ref="Q27" si="20">P27*N27</f>
        <v>1.24</v>
      </c>
      <c r="R27" s="20"/>
      <c r="S27" s="20"/>
    </row>
    <row r="28" spans="1:19" s="53" customFormat="1" ht="96" x14ac:dyDescent="0.25">
      <c r="A28" s="51"/>
      <c r="B28" s="16">
        <f>ROW(B28) - ROW($B$7)</f>
        <v>21</v>
      </c>
      <c r="C28" s="23" t="s">
        <v>9</v>
      </c>
      <c r="D28" s="14" t="s">
        <v>58</v>
      </c>
      <c r="E28" s="14" t="s">
        <v>236</v>
      </c>
      <c r="F28" s="14" t="s">
        <v>396</v>
      </c>
      <c r="G28" s="14" t="s">
        <v>477</v>
      </c>
      <c r="H28" s="14" t="s">
        <v>617</v>
      </c>
      <c r="I28" s="20" t="s">
        <v>919</v>
      </c>
      <c r="J28" s="14" t="s">
        <v>687</v>
      </c>
      <c r="K28" s="14" t="s">
        <v>846</v>
      </c>
      <c r="L28" s="14">
        <v>55</v>
      </c>
      <c r="M28" s="14">
        <f>L28*5</f>
        <v>275</v>
      </c>
      <c r="N28" s="14">
        <v>300</v>
      </c>
      <c r="O28" s="45" t="s">
        <v>921</v>
      </c>
      <c r="P28" s="15">
        <v>1.1000000000000001E-3</v>
      </c>
      <c r="Q28" s="15">
        <f>P28*N28</f>
        <v>0.33</v>
      </c>
      <c r="R28" s="14"/>
      <c r="S28" s="52"/>
    </row>
    <row r="29" spans="1:19" s="53" customFormat="1" x14ac:dyDescent="0.25">
      <c r="A29" s="51"/>
      <c r="B29" s="17">
        <f t="shared" si="0"/>
        <v>22</v>
      </c>
      <c r="C29" s="23" t="s">
        <v>9</v>
      </c>
      <c r="D29" s="20" t="s">
        <v>59</v>
      </c>
      <c r="E29" s="20" t="s">
        <v>237</v>
      </c>
      <c r="F29" s="20" t="s">
        <v>397</v>
      </c>
      <c r="G29" s="20" t="s">
        <v>478</v>
      </c>
      <c r="H29" s="20" t="s">
        <v>617</v>
      </c>
      <c r="I29" s="20" t="s">
        <v>919</v>
      </c>
      <c r="J29" s="20" t="s">
        <v>688</v>
      </c>
      <c r="K29" s="20" t="s">
        <v>839</v>
      </c>
      <c r="L29" s="20">
        <v>1</v>
      </c>
      <c r="M29" s="20">
        <f t="shared" ref="M29" si="21">L29*5</f>
        <v>5</v>
      </c>
      <c r="N29" s="20">
        <v>50</v>
      </c>
      <c r="O29" s="45" t="s">
        <v>921</v>
      </c>
      <c r="P29" s="15">
        <v>8.3000000000000001E-3</v>
      </c>
      <c r="Q29" s="21">
        <f t="shared" ref="Q29" si="22">P29*N29</f>
        <v>0.41499999999999998</v>
      </c>
      <c r="R29" s="20"/>
      <c r="S29" s="20"/>
    </row>
    <row r="30" spans="1:19" s="53" customFormat="1" ht="24" x14ac:dyDescent="0.25">
      <c r="A30" s="51"/>
      <c r="B30" s="16">
        <f>ROW(B30) - ROW($B$7)</f>
        <v>23</v>
      </c>
      <c r="C30" s="22" t="s">
        <v>9</v>
      </c>
      <c r="D30" s="14" t="s">
        <v>60</v>
      </c>
      <c r="E30" s="14" t="s">
        <v>238</v>
      </c>
      <c r="F30" s="14" t="s">
        <v>394</v>
      </c>
      <c r="G30" s="14" t="s">
        <v>479</v>
      </c>
      <c r="H30" s="14" t="s">
        <v>616</v>
      </c>
      <c r="I30" s="20" t="s">
        <v>919</v>
      </c>
      <c r="J30" s="14" t="s">
        <v>689</v>
      </c>
      <c r="K30" s="14" t="s">
        <v>835</v>
      </c>
      <c r="L30" s="14">
        <v>13</v>
      </c>
      <c r="M30" s="14">
        <f>L30*5</f>
        <v>65</v>
      </c>
      <c r="N30" s="14">
        <v>100</v>
      </c>
      <c r="O30" s="45" t="s">
        <v>921</v>
      </c>
      <c r="P30" s="15">
        <v>9.7999999999999997E-3</v>
      </c>
      <c r="Q30" s="15">
        <f>P30*N30</f>
        <v>0.98</v>
      </c>
      <c r="R30" s="14"/>
      <c r="S30" s="52"/>
    </row>
    <row r="31" spans="1:19" s="53" customFormat="1" x14ac:dyDescent="0.25">
      <c r="A31" s="51"/>
      <c r="B31" s="17">
        <f t="shared" si="0"/>
        <v>24</v>
      </c>
      <c r="C31" s="23" t="s">
        <v>9</v>
      </c>
      <c r="D31" s="20" t="s">
        <v>61</v>
      </c>
      <c r="E31" s="20" t="s">
        <v>239</v>
      </c>
      <c r="F31" s="20" t="s">
        <v>392</v>
      </c>
      <c r="G31" s="20" t="s">
        <v>480</v>
      </c>
      <c r="H31" s="20" t="s">
        <v>616</v>
      </c>
      <c r="I31" s="20" t="s">
        <v>919</v>
      </c>
      <c r="J31" s="20" t="s">
        <v>690</v>
      </c>
      <c r="K31" s="20" t="s">
        <v>847</v>
      </c>
      <c r="L31" s="20">
        <v>2</v>
      </c>
      <c r="M31" s="20">
        <f t="shared" ref="M31" si="23">L31*5</f>
        <v>10</v>
      </c>
      <c r="N31" s="20">
        <v>100</v>
      </c>
      <c r="O31" s="45" t="s">
        <v>921</v>
      </c>
      <c r="P31" s="15">
        <v>2E-3</v>
      </c>
      <c r="Q31" s="21">
        <f t="shared" ref="Q31" si="24">P31*N31</f>
        <v>0.2</v>
      </c>
      <c r="R31" s="20"/>
      <c r="S31" s="20"/>
    </row>
    <row r="32" spans="1:19" s="53" customFormat="1" ht="24" x14ac:dyDescent="0.25">
      <c r="A32" s="51"/>
      <c r="B32" s="16">
        <f>ROW(B32) - ROW($B$7)</f>
        <v>25</v>
      </c>
      <c r="C32" s="22" t="s">
        <v>9</v>
      </c>
      <c r="D32" s="14" t="s">
        <v>62</v>
      </c>
      <c r="E32" s="14" t="s">
        <v>240</v>
      </c>
      <c r="F32" s="14" t="s">
        <v>392</v>
      </c>
      <c r="G32" s="14" t="s">
        <v>481</v>
      </c>
      <c r="H32" s="14" t="s">
        <v>616</v>
      </c>
      <c r="I32" s="20" t="s">
        <v>919</v>
      </c>
      <c r="J32" s="14" t="s">
        <v>691</v>
      </c>
      <c r="K32" s="14" t="s">
        <v>848</v>
      </c>
      <c r="L32" s="14">
        <v>9</v>
      </c>
      <c r="M32" s="14">
        <f>L32*5</f>
        <v>45</v>
      </c>
      <c r="N32" s="14">
        <v>100</v>
      </c>
      <c r="O32" s="45" t="s">
        <v>921</v>
      </c>
      <c r="P32" s="15">
        <v>4.3E-3</v>
      </c>
      <c r="Q32" s="15">
        <f>P32*N32</f>
        <v>0.43</v>
      </c>
      <c r="R32" s="14"/>
      <c r="S32" s="52"/>
    </row>
    <row r="33" spans="1:19" s="53" customFormat="1" x14ac:dyDescent="0.25">
      <c r="A33" s="51"/>
      <c r="B33" s="17">
        <f t="shared" si="0"/>
        <v>26</v>
      </c>
      <c r="C33" s="23" t="s">
        <v>9</v>
      </c>
      <c r="D33" s="42" t="s">
        <v>63</v>
      </c>
      <c r="E33" s="42" t="s">
        <v>240</v>
      </c>
      <c r="F33" s="42" t="s">
        <v>392</v>
      </c>
      <c r="G33" s="42" t="s">
        <v>481</v>
      </c>
      <c r="H33" s="42" t="s">
        <v>616</v>
      </c>
      <c r="I33" s="20" t="s">
        <v>919</v>
      </c>
      <c r="J33" s="42" t="s">
        <v>691</v>
      </c>
      <c r="K33" s="42" t="s">
        <v>849</v>
      </c>
      <c r="L33" s="42">
        <v>1</v>
      </c>
      <c r="M33" s="42">
        <f t="shared" ref="M33" si="25">L33*5</f>
        <v>5</v>
      </c>
      <c r="N33" s="42" t="s">
        <v>919</v>
      </c>
      <c r="O33" s="42" t="s">
        <v>919</v>
      </c>
      <c r="P33" s="46" t="s">
        <v>919</v>
      </c>
      <c r="Q33" s="47" t="s">
        <v>919</v>
      </c>
      <c r="R33" s="42"/>
      <c r="S33" s="43" t="s">
        <v>920</v>
      </c>
    </row>
    <row r="34" spans="1:19" s="53" customFormat="1" x14ac:dyDescent="0.25">
      <c r="A34" s="51"/>
      <c r="B34" s="16">
        <f>ROW(B34) - ROW($B$7)</f>
        <v>27</v>
      </c>
      <c r="C34" s="22" t="s">
        <v>9</v>
      </c>
      <c r="D34" s="14" t="s">
        <v>64</v>
      </c>
      <c r="E34" s="14" t="s">
        <v>241</v>
      </c>
      <c r="F34" s="14" t="s">
        <v>395</v>
      </c>
      <c r="G34" s="14" t="s">
        <v>482</v>
      </c>
      <c r="H34" s="14" t="s">
        <v>617</v>
      </c>
      <c r="I34" s="20" t="s">
        <v>919</v>
      </c>
      <c r="J34" s="14" t="s">
        <v>692</v>
      </c>
      <c r="K34" s="14" t="s">
        <v>850</v>
      </c>
      <c r="L34" s="14">
        <v>3</v>
      </c>
      <c r="M34" s="14">
        <f>L34*5</f>
        <v>15</v>
      </c>
      <c r="N34" s="14">
        <v>50</v>
      </c>
      <c r="O34" s="45" t="s">
        <v>921</v>
      </c>
      <c r="P34" s="15">
        <v>1.6500000000000001E-2</v>
      </c>
      <c r="Q34" s="15">
        <f>P34*N34</f>
        <v>0.82500000000000007</v>
      </c>
      <c r="R34" s="14"/>
      <c r="S34" s="52"/>
    </row>
    <row r="35" spans="1:19" s="53" customFormat="1" x14ac:dyDescent="0.25">
      <c r="A35" s="51"/>
      <c r="B35" s="17">
        <f t="shared" si="0"/>
        <v>28</v>
      </c>
      <c r="C35" s="23" t="s">
        <v>9</v>
      </c>
      <c r="D35" s="20" t="s">
        <v>65</v>
      </c>
      <c r="E35" s="20" t="s">
        <v>242</v>
      </c>
      <c r="F35" s="20" t="s">
        <v>398</v>
      </c>
      <c r="G35" s="20" t="s">
        <v>483</v>
      </c>
      <c r="H35" s="20" t="s">
        <v>617</v>
      </c>
      <c r="I35" s="20" t="s">
        <v>919</v>
      </c>
      <c r="J35" s="20" t="s">
        <v>693</v>
      </c>
      <c r="K35" s="20" t="s">
        <v>837</v>
      </c>
      <c r="L35" s="20">
        <v>1</v>
      </c>
      <c r="M35" s="20">
        <f t="shared" ref="M35" si="26">L35*5</f>
        <v>5</v>
      </c>
      <c r="N35" s="20">
        <v>50</v>
      </c>
      <c r="O35" s="45" t="s">
        <v>921</v>
      </c>
      <c r="P35" s="15">
        <v>1.7299999999999999E-2</v>
      </c>
      <c r="Q35" s="21">
        <f t="shared" ref="Q35" si="27">P35*N35</f>
        <v>0.86499999999999999</v>
      </c>
      <c r="R35" s="20"/>
      <c r="S35" s="20"/>
    </row>
    <row r="36" spans="1:19" s="53" customFormat="1" x14ac:dyDescent="0.25">
      <c r="A36" s="51"/>
      <c r="B36" s="16">
        <f>ROW(B36) - ROW($B$7)</f>
        <v>29</v>
      </c>
      <c r="C36" s="22" t="s">
        <v>9</v>
      </c>
      <c r="D36" s="14" t="s">
        <v>66</v>
      </c>
      <c r="E36" s="14" t="s">
        <v>243</v>
      </c>
      <c r="F36" s="14" t="s">
        <v>394</v>
      </c>
      <c r="G36" s="14" t="s">
        <v>484</v>
      </c>
      <c r="H36" s="14" t="s">
        <v>620</v>
      </c>
      <c r="I36" s="20" t="s">
        <v>919</v>
      </c>
      <c r="J36" s="14" t="s">
        <v>694</v>
      </c>
      <c r="K36" s="14" t="s">
        <v>839</v>
      </c>
      <c r="L36" s="14">
        <v>3</v>
      </c>
      <c r="M36" s="14">
        <f>L36*5</f>
        <v>15</v>
      </c>
      <c r="N36" s="14">
        <v>100</v>
      </c>
      <c r="O36" s="45" t="s">
        <v>921</v>
      </c>
      <c r="P36" s="15">
        <v>4.1999999999999997E-3</v>
      </c>
      <c r="Q36" s="15">
        <f>P36*N36</f>
        <v>0.42</v>
      </c>
      <c r="R36" s="14"/>
      <c r="S36" s="52"/>
    </row>
    <row r="37" spans="1:19" s="53" customFormat="1" x14ac:dyDescent="0.25">
      <c r="A37" s="51"/>
      <c r="B37" s="17">
        <f t="shared" si="0"/>
        <v>30</v>
      </c>
      <c r="C37" s="22" t="s">
        <v>9</v>
      </c>
      <c r="D37" s="20" t="s">
        <v>67</v>
      </c>
      <c r="E37" s="20" t="s">
        <v>244</v>
      </c>
      <c r="F37" s="20" t="s">
        <v>392</v>
      </c>
      <c r="G37" s="20" t="s">
        <v>485</v>
      </c>
      <c r="H37" s="20" t="s">
        <v>616</v>
      </c>
      <c r="I37" s="20" t="s">
        <v>919</v>
      </c>
      <c r="J37" s="20" t="s">
        <v>695</v>
      </c>
      <c r="K37" s="20" t="s">
        <v>851</v>
      </c>
      <c r="L37" s="20">
        <v>2</v>
      </c>
      <c r="M37" s="20">
        <f t="shared" ref="M37" si="28">L37*5</f>
        <v>10</v>
      </c>
      <c r="N37" s="20">
        <v>20</v>
      </c>
      <c r="O37" s="45" t="s">
        <v>921</v>
      </c>
      <c r="P37" s="15">
        <v>4.5900000000000003E-2</v>
      </c>
      <c r="Q37" s="21">
        <f t="shared" ref="Q37" si="29">P37*N37</f>
        <v>0.91800000000000004</v>
      </c>
      <c r="R37" s="20"/>
      <c r="S37" s="20"/>
    </row>
    <row r="38" spans="1:19" s="53" customFormat="1" x14ac:dyDescent="0.25">
      <c r="A38" s="51"/>
      <c r="B38" s="16">
        <f>ROW(B38) - ROW($B$7)</f>
        <v>31</v>
      </c>
      <c r="C38" s="22" t="s">
        <v>9</v>
      </c>
      <c r="D38" s="14" t="s">
        <v>68</v>
      </c>
      <c r="E38" s="14" t="s">
        <v>245</v>
      </c>
      <c r="F38" s="14" t="s">
        <v>394</v>
      </c>
      <c r="G38" s="14" t="s">
        <v>486</v>
      </c>
      <c r="H38" s="14" t="s">
        <v>617</v>
      </c>
      <c r="I38" s="20" t="s">
        <v>919</v>
      </c>
      <c r="J38" s="14" t="s">
        <v>696</v>
      </c>
      <c r="K38" s="14" t="s">
        <v>845</v>
      </c>
      <c r="L38" s="14">
        <v>1</v>
      </c>
      <c r="M38" s="14">
        <f>L38*5</f>
        <v>5</v>
      </c>
      <c r="N38" s="14">
        <v>20</v>
      </c>
      <c r="O38" s="45" t="s">
        <v>921</v>
      </c>
      <c r="P38" s="15">
        <v>2.8299999999999999E-2</v>
      </c>
      <c r="Q38" s="15">
        <f>P38*N38</f>
        <v>0.56599999999999995</v>
      </c>
      <c r="R38" s="14"/>
      <c r="S38" s="52"/>
    </row>
    <row r="39" spans="1:19" s="53" customFormat="1" x14ac:dyDescent="0.25">
      <c r="A39" s="51"/>
      <c r="B39" s="17">
        <f t="shared" si="0"/>
        <v>32</v>
      </c>
      <c r="C39" s="22" t="s">
        <v>9</v>
      </c>
      <c r="D39" s="20" t="s">
        <v>69</v>
      </c>
      <c r="E39" s="20" t="s">
        <v>246</v>
      </c>
      <c r="F39" s="20" t="s">
        <v>394</v>
      </c>
      <c r="G39" s="20" t="s">
        <v>487</v>
      </c>
      <c r="H39" s="20" t="s">
        <v>617</v>
      </c>
      <c r="I39" s="20" t="s">
        <v>919</v>
      </c>
      <c r="J39" s="20" t="s">
        <v>697</v>
      </c>
      <c r="K39" s="20" t="s">
        <v>847</v>
      </c>
      <c r="L39" s="20">
        <v>1</v>
      </c>
      <c r="M39" s="20">
        <f t="shared" ref="M39" si="30">L39*5</f>
        <v>5</v>
      </c>
      <c r="N39" s="20">
        <v>100</v>
      </c>
      <c r="O39" s="45" t="s">
        <v>921</v>
      </c>
      <c r="P39" s="15">
        <v>2.5000000000000001E-3</v>
      </c>
      <c r="Q39" s="21">
        <f t="shared" ref="Q39" si="31">P39*N39</f>
        <v>0.25</v>
      </c>
      <c r="R39" s="20"/>
      <c r="S39" s="20"/>
    </row>
    <row r="40" spans="1:19" s="53" customFormat="1" x14ac:dyDescent="0.25">
      <c r="A40" s="51"/>
      <c r="B40" s="16">
        <f>ROW(B40) - ROW($B$7)</f>
        <v>33</v>
      </c>
      <c r="C40" s="22" t="s">
        <v>10</v>
      </c>
      <c r="D40" s="14" t="s">
        <v>70</v>
      </c>
      <c r="E40" s="14" t="s">
        <v>247</v>
      </c>
      <c r="F40" s="14" t="s">
        <v>399</v>
      </c>
      <c r="G40" s="14" t="s">
        <v>488</v>
      </c>
      <c r="H40" s="14" t="s">
        <v>617</v>
      </c>
      <c r="I40" s="20" t="s">
        <v>919</v>
      </c>
      <c r="J40" s="14" t="s">
        <v>698</v>
      </c>
      <c r="K40" s="14" t="s">
        <v>852</v>
      </c>
      <c r="L40" s="14">
        <v>1</v>
      </c>
      <c r="M40" s="14">
        <f>L40*5</f>
        <v>5</v>
      </c>
      <c r="N40" s="14">
        <v>10</v>
      </c>
      <c r="O40" s="45" t="s">
        <v>921</v>
      </c>
      <c r="P40" s="15">
        <v>6.9400000000000003E-2</v>
      </c>
      <c r="Q40" s="15">
        <f>P40*N40</f>
        <v>0.69400000000000006</v>
      </c>
      <c r="R40" s="14"/>
      <c r="S40" s="52"/>
    </row>
    <row r="41" spans="1:19" s="53" customFormat="1" ht="36" x14ac:dyDescent="0.25">
      <c r="A41" s="51"/>
      <c r="B41" s="17">
        <f t="shared" si="0"/>
        <v>34</v>
      </c>
      <c r="C41" s="22" t="s">
        <v>10</v>
      </c>
      <c r="D41" s="20" t="s">
        <v>71</v>
      </c>
      <c r="E41" s="20" t="s">
        <v>248</v>
      </c>
      <c r="F41" s="20" t="s">
        <v>933</v>
      </c>
      <c r="G41" s="20" t="s">
        <v>400</v>
      </c>
      <c r="H41" s="20" t="s">
        <v>621</v>
      </c>
      <c r="I41" s="20" t="s">
        <v>919</v>
      </c>
      <c r="J41" s="20" t="s">
        <v>699</v>
      </c>
      <c r="K41" s="20" t="s">
        <v>839</v>
      </c>
      <c r="L41" s="20">
        <v>1</v>
      </c>
      <c r="M41" s="20">
        <f t="shared" ref="M41" si="32">L41*5</f>
        <v>5</v>
      </c>
      <c r="N41" s="20">
        <v>20</v>
      </c>
      <c r="O41" s="45" t="s">
        <v>921</v>
      </c>
      <c r="P41" s="15">
        <v>2.4E-2</v>
      </c>
      <c r="Q41" s="21">
        <f t="shared" ref="Q41" si="33">P41*N41</f>
        <v>0.48</v>
      </c>
      <c r="R41" s="20"/>
      <c r="S41" s="20"/>
    </row>
    <row r="42" spans="1:19" s="53" customFormat="1" x14ac:dyDescent="0.25">
      <c r="A42" s="51"/>
      <c r="B42" s="16">
        <f>ROW(B42) - ROW($B$7)</f>
        <v>35</v>
      </c>
      <c r="C42" s="22" t="s">
        <v>9</v>
      </c>
      <c r="D42" s="14" t="s">
        <v>72</v>
      </c>
      <c r="E42" s="14" t="s">
        <v>249</v>
      </c>
      <c r="F42" s="14" t="s">
        <v>391</v>
      </c>
      <c r="G42" s="14" t="s">
        <v>489</v>
      </c>
      <c r="H42" s="14" t="s">
        <v>617</v>
      </c>
      <c r="I42" s="20" t="s">
        <v>919</v>
      </c>
      <c r="J42" s="14" t="s">
        <v>700</v>
      </c>
      <c r="K42" s="14" t="s">
        <v>853</v>
      </c>
      <c r="L42" s="14">
        <v>1</v>
      </c>
      <c r="M42" s="14">
        <f>L42*5</f>
        <v>5</v>
      </c>
      <c r="N42" s="14">
        <v>50</v>
      </c>
      <c r="O42" s="45" t="s">
        <v>921</v>
      </c>
      <c r="P42" s="15">
        <v>9.2999999999999992E-3</v>
      </c>
      <c r="Q42" s="15">
        <f>P42*N42</f>
        <v>0.46499999999999997</v>
      </c>
      <c r="R42" s="14"/>
      <c r="S42" s="52"/>
    </row>
    <row r="43" spans="1:19" s="53" customFormat="1" x14ac:dyDescent="0.25">
      <c r="A43" s="51"/>
      <c r="B43" s="17">
        <f t="shared" si="0"/>
        <v>36</v>
      </c>
      <c r="C43" s="23" t="s">
        <v>9</v>
      </c>
      <c r="D43" s="20" t="s">
        <v>73</v>
      </c>
      <c r="E43" s="20" t="s">
        <v>250</v>
      </c>
      <c r="F43" s="20" t="s">
        <v>933</v>
      </c>
      <c r="G43" s="20" t="s">
        <v>490</v>
      </c>
      <c r="H43" s="20" t="s">
        <v>618</v>
      </c>
      <c r="I43" s="20" t="s">
        <v>919</v>
      </c>
      <c r="J43" s="20" t="s">
        <v>701</v>
      </c>
      <c r="K43" s="20" t="s">
        <v>835</v>
      </c>
      <c r="L43" s="20">
        <v>1</v>
      </c>
      <c r="M43" s="20">
        <f t="shared" ref="M43" si="34">L43*5</f>
        <v>5</v>
      </c>
      <c r="N43" s="20">
        <v>20</v>
      </c>
      <c r="O43" s="45" t="s">
        <v>921</v>
      </c>
      <c r="P43" s="15">
        <v>1.7100000000000001E-2</v>
      </c>
      <c r="Q43" s="21">
        <f t="shared" ref="Q43" si="35">P43*N43</f>
        <v>0.34200000000000003</v>
      </c>
      <c r="R43" s="20"/>
      <c r="S43" s="20"/>
    </row>
    <row r="44" spans="1:19" s="53" customFormat="1" x14ac:dyDescent="0.25">
      <c r="A44" s="51"/>
      <c r="B44" s="16">
        <f>ROW(B44) - ROW($B$7)</f>
        <v>37</v>
      </c>
      <c r="C44" s="22" t="s">
        <v>9</v>
      </c>
      <c r="D44" s="14" t="s">
        <v>74</v>
      </c>
      <c r="E44" s="14" t="s">
        <v>251</v>
      </c>
      <c r="F44" s="14" t="s">
        <v>392</v>
      </c>
      <c r="G44" s="14" t="s">
        <v>491</v>
      </c>
      <c r="H44" s="14" t="s">
        <v>617</v>
      </c>
      <c r="I44" s="20" t="s">
        <v>919</v>
      </c>
      <c r="J44" s="14" t="s">
        <v>702</v>
      </c>
      <c r="K44" s="14" t="s">
        <v>854</v>
      </c>
      <c r="L44" s="14">
        <v>1</v>
      </c>
      <c r="M44" s="14">
        <f>L44*5</f>
        <v>5</v>
      </c>
      <c r="N44" s="14">
        <v>100</v>
      </c>
      <c r="O44" s="45" t="s">
        <v>921</v>
      </c>
      <c r="P44" s="15">
        <v>2.0999999999999999E-3</v>
      </c>
      <c r="Q44" s="15">
        <f>P44*N44</f>
        <v>0.21</v>
      </c>
      <c r="R44" s="14"/>
      <c r="S44" s="52"/>
    </row>
    <row r="45" spans="1:19" s="53" customFormat="1" x14ac:dyDescent="0.25">
      <c r="A45" s="51"/>
      <c r="B45" s="17">
        <f t="shared" si="0"/>
        <v>38</v>
      </c>
      <c r="C45" s="23" t="s">
        <v>9</v>
      </c>
      <c r="D45" s="20" t="s">
        <v>75</v>
      </c>
      <c r="E45" s="20" t="s">
        <v>252</v>
      </c>
      <c r="F45" s="20" t="s">
        <v>933</v>
      </c>
      <c r="G45" s="20" t="s">
        <v>401</v>
      </c>
      <c r="H45" s="20" t="s">
        <v>622</v>
      </c>
      <c r="I45" s="20" t="s">
        <v>919</v>
      </c>
      <c r="J45" s="20" t="s">
        <v>703</v>
      </c>
      <c r="K45" s="20" t="s">
        <v>835</v>
      </c>
      <c r="L45" s="20">
        <v>1</v>
      </c>
      <c r="M45" s="20">
        <f t="shared" ref="M45" si="36">L45*5</f>
        <v>5</v>
      </c>
      <c r="N45" s="20">
        <v>6</v>
      </c>
      <c r="O45" s="45" t="s">
        <v>921</v>
      </c>
      <c r="P45" s="15">
        <v>0.69069999999999998</v>
      </c>
      <c r="Q45" s="21">
        <f t="shared" ref="Q45" si="37">P45*N45</f>
        <v>4.1441999999999997</v>
      </c>
      <c r="R45" s="20"/>
      <c r="S45" s="20"/>
    </row>
    <row r="46" spans="1:19" s="53" customFormat="1" x14ac:dyDescent="0.25">
      <c r="A46" s="51"/>
      <c r="B46" s="16">
        <f>ROW(B46) - ROW($B$7)</f>
        <v>39</v>
      </c>
      <c r="C46" s="23" t="s">
        <v>9</v>
      </c>
      <c r="D46" s="14" t="s">
        <v>76</v>
      </c>
      <c r="E46" s="14" t="s">
        <v>253</v>
      </c>
      <c r="F46" s="14" t="s">
        <v>394</v>
      </c>
      <c r="G46" s="14" t="s">
        <v>492</v>
      </c>
      <c r="H46" s="14" t="s">
        <v>617</v>
      </c>
      <c r="I46" s="20" t="s">
        <v>919</v>
      </c>
      <c r="J46" s="14" t="s">
        <v>704</v>
      </c>
      <c r="K46" s="14" t="s">
        <v>841</v>
      </c>
      <c r="L46" s="14">
        <v>1</v>
      </c>
      <c r="M46" s="14">
        <f>L46*5</f>
        <v>5</v>
      </c>
      <c r="N46" s="14">
        <v>100</v>
      </c>
      <c r="O46" s="45" t="s">
        <v>921</v>
      </c>
      <c r="P46" s="15">
        <v>2.3999999999999998E-3</v>
      </c>
      <c r="Q46" s="15">
        <f>P46*N46</f>
        <v>0.24</v>
      </c>
      <c r="R46" s="14"/>
      <c r="S46" s="52"/>
    </row>
    <row r="47" spans="1:19" s="53" customFormat="1" x14ac:dyDescent="0.25">
      <c r="A47" s="51"/>
      <c r="B47" s="17">
        <f t="shared" si="0"/>
        <v>40</v>
      </c>
      <c r="C47" s="23" t="s">
        <v>9</v>
      </c>
      <c r="D47" s="20" t="s">
        <v>77</v>
      </c>
      <c r="E47" s="20" t="s">
        <v>220</v>
      </c>
      <c r="F47" s="20" t="s">
        <v>392</v>
      </c>
      <c r="G47" s="20" t="s">
        <v>493</v>
      </c>
      <c r="H47" s="20" t="s">
        <v>620</v>
      </c>
      <c r="I47" s="20" t="s">
        <v>919</v>
      </c>
      <c r="J47" s="20" t="s">
        <v>705</v>
      </c>
      <c r="K47" s="20" t="s">
        <v>836</v>
      </c>
      <c r="L47" s="20">
        <v>2</v>
      </c>
      <c r="M47" s="20">
        <f t="shared" ref="M47" si="38">L47*5</f>
        <v>10</v>
      </c>
      <c r="N47" s="20">
        <v>100</v>
      </c>
      <c r="O47" s="45" t="s">
        <v>921</v>
      </c>
      <c r="P47" s="15">
        <v>4.4999999999999997E-3</v>
      </c>
      <c r="Q47" s="21">
        <f t="shared" ref="Q47" si="39">P47*N47</f>
        <v>0.44999999999999996</v>
      </c>
      <c r="R47" s="20"/>
      <c r="S47" s="20"/>
    </row>
    <row r="48" spans="1:19" s="53" customFormat="1" x14ac:dyDescent="0.25">
      <c r="A48" s="51"/>
      <c r="B48" s="16">
        <f>ROW(B48) - ROW($B$7)</f>
        <v>41</v>
      </c>
      <c r="C48" s="22" t="s">
        <v>9</v>
      </c>
      <c r="D48" s="14" t="s">
        <v>78</v>
      </c>
      <c r="E48" s="14" t="s">
        <v>223</v>
      </c>
      <c r="F48" s="14" t="s">
        <v>392</v>
      </c>
      <c r="G48" s="14" t="s">
        <v>494</v>
      </c>
      <c r="H48" s="14" t="s">
        <v>620</v>
      </c>
      <c r="I48" s="20" t="s">
        <v>919</v>
      </c>
      <c r="J48" s="14" t="s">
        <v>706</v>
      </c>
      <c r="K48" s="14" t="s">
        <v>839</v>
      </c>
      <c r="L48" s="14">
        <v>2</v>
      </c>
      <c r="M48" s="14">
        <f>L48*5</f>
        <v>10</v>
      </c>
      <c r="N48" s="14">
        <v>100</v>
      </c>
      <c r="O48" s="45" t="s">
        <v>921</v>
      </c>
      <c r="P48" s="15">
        <v>3.0999999999999999E-3</v>
      </c>
      <c r="Q48" s="15">
        <f>P48*N48</f>
        <v>0.31</v>
      </c>
      <c r="R48" s="14"/>
      <c r="S48" s="52"/>
    </row>
    <row r="49" spans="1:19" s="53" customFormat="1" ht="36" x14ac:dyDescent="0.25">
      <c r="A49" s="51"/>
      <c r="B49" s="17">
        <f t="shared" si="0"/>
        <v>42</v>
      </c>
      <c r="C49" s="23" t="s">
        <v>11</v>
      </c>
      <c r="D49" s="20" t="s">
        <v>79</v>
      </c>
      <c r="E49" s="20" t="s">
        <v>254</v>
      </c>
      <c r="F49" s="20" t="s">
        <v>402</v>
      </c>
      <c r="G49" s="20" t="s">
        <v>495</v>
      </c>
      <c r="H49" s="20" t="s">
        <v>623</v>
      </c>
      <c r="I49" s="20" t="s">
        <v>919</v>
      </c>
      <c r="J49" s="20" t="s">
        <v>707</v>
      </c>
      <c r="K49" s="20" t="s">
        <v>919</v>
      </c>
      <c r="L49" s="20">
        <v>1</v>
      </c>
      <c r="M49" s="20">
        <f t="shared" ref="M49" si="40">L49*5</f>
        <v>5</v>
      </c>
      <c r="N49" s="20">
        <v>20</v>
      </c>
      <c r="O49" s="45" t="s">
        <v>921</v>
      </c>
      <c r="P49" s="15">
        <v>2.4299999999999999E-2</v>
      </c>
      <c r="Q49" s="21">
        <f t="shared" ref="Q49" si="41">P49*N49</f>
        <v>0.48599999999999999</v>
      </c>
      <c r="R49" s="20"/>
      <c r="S49" s="20"/>
    </row>
    <row r="50" spans="1:19" s="53" customFormat="1" ht="24" x14ac:dyDescent="0.25">
      <c r="A50" s="51"/>
      <c r="B50" s="16">
        <f>ROW(B50) - ROW($B$7)</f>
        <v>43</v>
      </c>
      <c r="C50" s="23" t="s">
        <v>11</v>
      </c>
      <c r="D50" s="14" t="s">
        <v>80</v>
      </c>
      <c r="E50" s="14" t="s">
        <v>255</v>
      </c>
      <c r="F50" s="14" t="s">
        <v>403</v>
      </c>
      <c r="G50" s="14" t="s">
        <v>496</v>
      </c>
      <c r="H50" s="14" t="s">
        <v>624</v>
      </c>
      <c r="I50" s="20" t="s">
        <v>919</v>
      </c>
      <c r="J50" s="14" t="s">
        <v>708</v>
      </c>
      <c r="K50" s="20" t="s">
        <v>919</v>
      </c>
      <c r="L50" s="14">
        <v>9</v>
      </c>
      <c r="M50" s="14">
        <f>L50*5</f>
        <v>45</v>
      </c>
      <c r="N50" s="14">
        <v>50</v>
      </c>
      <c r="O50" s="45" t="s">
        <v>921</v>
      </c>
      <c r="P50" s="15">
        <v>8.3000000000000001E-3</v>
      </c>
      <c r="Q50" s="15">
        <f>P50*N50</f>
        <v>0.41499999999999998</v>
      </c>
      <c r="R50" s="14"/>
      <c r="S50" s="52"/>
    </row>
    <row r="51" spans="1:19" s="53" customFormat="1" ht="36" x14ac:dyDescent="0.25">
      <c r="A51" s="51"/>
      <c r="B51" s="17">
        <f t="shared" si="0"/>
        <v>44</v>
      </c>
      <c r="C51" s="23" t="s">
        <v>11</v>
      </c>
      <c r="D51" s="20" t="s">
        <v>81</v>
      </c>
      <c r="E51" s="20" t="s">
        <v>256</v>
      </c>
      <c r="F51" s="20" t="s">
        <v>404</v>
      </c>
      <c r="G51" s="20" t="s">
        <v>497</v>
      </c>
      <c r="H51" s="20" t="s">
        <v>625</v>
      </c>
      <c r="I51" s="20" t="s">
        <v>919</v>
      </c>
      <c r="J51" s="20" t="s">
        <v>709</v>
      </c>
      <c r="K51" s="20" t="s">
        <v>919</v>
      </c>
      <c r="L51" s="20">
        <v>1</v>
      </c>
      <c r="M51" s="20">
        <f t="shared" ref="M51" si="42">L51*5</f>
        <v>5</v>
      </c>
      <c r="N51" s="20">
        <v>50</v>
      </c>
      <c r="O51" s="45" t="s">
        <v>921</v>
      </c>
      <c r="P51" s="15">
        <v>1.17E-2</v>
      </c>
      <c r="Q51" s="21">
        <f t="shared" ref="Q51" si="43">P51*N51</f>
        <v>0.58499999999999996</v>
      </c>
      <c r="R51" s="20"/>
      <c r="S51" s="20"/>
    </row>
    <row r="52" spans="1:19" s="53" customFormat="1" x14ac:dyDescent="0.25">
      <c r="A52" s="51"/>
      <c r="B52" s="16">
        <f>ROW(B52) - ROW($B$7)</f>
        <v>45</v>
      </c>
      <c r="C52" s="22" t="s">
        <v>11</v>
      </c>
      <c r="D52" s="14" t="s">
        <v>82</v>
      </c>
      <c r="E52" s="14" t="s">
        <v>257</v>
      </c>
      <c r="F52" s="14" t="s">
        <v>405</v>
      </c>
      <c r="G52" s="14" t="s">
        <v>498</v>
      </c>
      <c r="H52" s="14" t="s">
        <v>626</v>
      </c>
      <c r="I52" s="20" t="s">
        <v>919</v>
      </c>
      <c r="J52" s="14" t="s">
        <v>710</v>
      </c>
      <c r="K52" s="20" t="s">
        <v>919</v>
      </c>
      <c r="L52" s="14">
        <v>2</v>
      </c>
      <c r="M52" s="14">
        <f>L52*5</f>
        <v>10</v>
      </c>
      <c r="N52" s="14">
        <v>20</v>
      </c>
      <c r="O52" s="45" t="s">
        <v>921</v>
      </c>
      <c r="P52" s="15">
        <v>2.8500000000000001E-2</v>
      </c>
      <c r="Q52" s="15">
        <f>P52*N52</f>
        <v>0.57000000000000006</v>
      </c>
      <c r="R52" s="14"/>
      <c r="S52" s="52"/>
    </row>
    <row r="53" spans="1:19" s="53" customFormat="1" ht="24" x14ac:dyDescent="0.25">
      <c r="A53" s="51"/>
      <c r="B53" s="17">
        <f t="shared" si="0"/>
        <v>46</v>
      </c>
      <c r="C53" s="23" t="s">
        <v>11</v>
      </c>
      <c r="D53" s="20" t="s">
        <v>83</v>
      </c>
      <c r="E53" s="20" t="s">
        <v>258</v>
      </c>
      <c r="F53" s="20" t="s">
        <v>403</v>
      </c>
      <c r="G53" s="20" t="s">
        <v>499</v>
      </c>
      <c r="H53" s="20" t="s">
        <v>627</v>
      </c>
      <c r="I53" s="20" t="s">
        <v>919</v>
      </c>
      <c r="J53" s="20" t="s">
        <v>711</v>
      </c>
      <c r="K53" s="20" t="s">
        <v>919</v>
      </c>
      <c r="L53" s="20">
        <v>4</v>
      </c>
      <c r="M53" s="20">
        <f t="shared" ref="M53" si="44">L53*5</f>
        <v>20</v>
      </c>
      <c r="N53" s="20">
        <v>40</v>
      </c>
      <c r="O53" s="45" t="s">
        <v>921</v>
      </c>
      <c r="P53" s="15">
        <v>3.6700000000000003E-2</v>
      </c>
      <c r="Q53" s="21">
        <f t="shared" ref="Q53" si="45">P53*N53</f>
        <v>1.4680000000000002</v>
      </c>
      <c r="R53" s="20"/>
      <c r="S53" s="20"/>
    </row>
    <row r="54" spans="1:19" s="53" customFormat="1" x14ac:dyDescent="0.25">
      <c r="A54" s="51"/>
      <c r="B54" s="16">
        <f>ROW(B54) - ROW($B$7)</f>
        <v>47</v>
      </c>
      <c r="C54" s="22" t="s">
        <v>11</v>
      </c>
      <c r="D54" s="14" t="s">
        <v>84</v>
      </c>
      <c r="E54" s="14" t="s">
        <v>259</v>
      </c>
      <c r="F54" s="14" t="s">
        <v>406</v>
      </c>
      <c r="G54" s="14" t="s">
        <v>500</v>
      </c>
      <c r="H54" s="14" t="s">
        <v>623</v>
      </c>
      <c r="I54" s="20" t="s">
        <v>919</v>
      </c>
      <c r="J54" s="14" t="s">
        <v>712</v>
      </c>
      <c r="K54" s="20" t="s">
        <v>919</v>
      </c>
      <c r="L54" s="14">
        <v>2</v>
      </c>
      <c r="M54" s="14">
        <f>L54*5</f>
        <v>10</v>
      </c>
      <c r="N54" s="14">
        <v>20</v>
      </c>
      <c r="O54" s="45" t="s">
        <v>921</v>
      </c>
      <c r="P54" s="15">
        <v>2.47E-2</v>
      </c>
      <c r="Q54" s="15">
        <f>P54*N54</f>
        <v>0.49399999999999999</v>
      </c>
      <c r="R54" s="14"/>
      <c r="S54" s="52"/>
    </row>
    <row r="55" spans="1:19" s="53" customFormat="1" ht="24" x14ac:dyDescent="0.25">
      <c r="A55" s="51"/>
      <c r="B55" s="17">
        <f t="shared" si="0"/>
        <v>48</v>
      </c>
      <c r="C55" s="23" t="s">
        <v>11</v>
      </c>
      <c r="D55" s="20" t="s">
        <v>85</v>
      </c>
      <c r="E55" s="20" t="s">
        <v>260</v>
      </c>
      <c r="F55" s="20" t="s">
        <v>407</v>
      </c>
      <c r="G55" s="20" t="s">
        <v>501</v>
      </c>
      <c r="H55" s="20" t="s">
        <v>627</v>
      </c>
      <c r="I55" s="20" t="s">
        <v>919</v>
      </c>
      <c r="J55" s="20" t="s">
        <v>713</v>
      </c>
      <c r="K55" s="20" t="s">
        <v>919</v>
      </c>
      <c r="L55" s="20">
        <v>4</v>
      </c>
      <c r="M55" s="20">
        <f t="shared" ref="M55" si="46">L55*5</f>
        <v>20</v>
      </c>
      <c r="N55" s="20">
        <v>30</v>
      </c>
      <c r="O55" s="45" t="s">
        <v>921</v>
      </c>
      <c r="P55" s="15">
        <v>6.0600000000000001E-2</v>
      </c>
      <c r="Q55" s="21">
        <f t="shared" ref="Q55" si="47">P55*N55</f>
        <v>1.8180000000000001</v>
      </c>
      <c r="R55" s="20"/>
      <c r="S55" s="20"/>
    </row>
    <row r="56" spans="1:19" s="53" customFormat="1" ht="24" x14ac:dyDescent="0.25">
      <c r="A56" s="51"/>
      <c r="B56" s="16">
        <f>ROW(B56) - ROW($B$7)</f>
        <v>49</v>
      </c>
      <c r="C56" s="22" t="s">
        <v>11</v>
      </c>
      <c r="D56" s="14" t="s">
        <v>86</v>
      </c>
      <c r="E56" s="14" t="s">
        <v>261</v>
      </c>
      <c r="F56" s="14" t="s">
        <v>408</v>
      </c>
      <c r="G56" s="14" t="s">
        <v>502</v>
      </c>
      <c r="H56" s="14" t="s">
        <v>623</v>
      </c>
      <c r="I56" s="20" t="s">
        <v>919</v>
      </c>
      <c r="J56" s="14" t="s">
        <v>714</v>
      </c>
      <c r="K56" s="20" t="s">
        <v>919</v>
      </c>
      <c r="L56" s="14">
        <v>1</v>
      </c>
      <c r="M56" s="14">
        <f>L56*5</f>
        <v>5</v>
      </c>
      <c r="N56" s="14">
        <v>20</v>
      </c>
      <c r="O56" s="45" t="s">
        <v>921</v>
      </c>
      <c r="P56" s="15">
        <v>2.3800000000000002E-2</v>
      </c>
      <c r="Q56" s="15">
        <f>P56*N56</f>
        <v>0.47600000000000003</v>
      </c>
      <c r="R56" s="14"/>
      <c r="S56" s="52"/>
    </row>
    <row r="57" spans="1:19" s="53" customFormat="1" ht="24" x14ac:dyDescent="0.25">
      <c r="A57" s="51"/>
      <c r="B57" s="17">
        <f t="shared" si="0"/>
        <v>50</v>
      </c>
      <c r="C57" s="23" t="s">
        <v>11</v>
      </c>
      <c r="D57" s="20" t="s">
        <v>87</v>
      </c>
      <c r="E57" s="20" t="s">
        <v>262</v>
      </c>
      <c r="F57" s="20" t="s">
        <v>409</v>
      </c>
      <c r="G57" s="20" t="s">
        <v>503</v>
      </c>
      <c r="H57" s="20" t="s">
        <v>627</v>
      </c>
      <c r="I57" s="20" t="s">
        <v>919</v>
      </c>
      <c r="J57" s="20" t="s">
        <v>715</v>
      </c>
      <c r="K57" s="20" t="s">
        <v>919</v>
      </c>
      <c r="L57" s="20">
        <v>8</v>
      </c>
      <c r="M57" s="20">
        <f t="shared" ref="M57" si="48">L57*5</f>
        <v>40</v>
      </c>
      <c r="N57" s="20">
        <v>60</v>
      </c>
      <c r="O57" s="45" t="s">
        <v>921</v>
      </c>
      <c r="P57" s="15">
        <v>3.1800000000000002E-2</v>
      </c>
      <c r="Q57" s="21">
        <f t="shared" ref="Q57" si="49">P57*N57</f>
        <v>1.9080000000000001</v>
      </c>
      <c r="R57" s="20"/>
      <c r="S57" s="20"/>
    </row>
    <row r="58" spans="1:19" s="53" customFormat="1" ht="36" x14ac:dyDescent="0.25">
      <c r="A58" s="51"/>
      <c r="B58" s="16">
        <f>ROW(B58) - ROW($B$7)</f>
        <v>51</v>
      </c>
      <c r="C58" s="22" t="s">
        <v>11</v>
      </c>
      <c r="D58" s="14" t="s">
        <v>88</v>
      </c>
      <c r="E58" s="14" t="s">
        <v>263</v>
      </c>
      <c r="F58" s="14" t="s">
        <v>408</v>
      </c>
      <c r="G58" s="14" t="s">
        <v>504</v>
      </c>
      <c r="H58" s="14" t="s">
        <v>628</v>
      </c>
      <c r="I58" s="20" t="s">
        <v>919</v>
      </c>
      <c r="J58" s="14" t="s">
        <v>716</v>
      </c>
      <c r="K58" s="20" t="s">
        <v>919</v>
      </c>
      <c r="L58" s="14">
        <v>1</v>
      </c>
      <c r="M58" s="14">
        <f>L58*5</f>
        <v>5</v>
      </c>
      <c r="N58" s="14">
        <v>50</v>
      </c>
      <c r="O58" s="45" t="s">
        <v>921</v>
      </c>
      <c r="P58" s="15">
        <v>7.3000000000000001E-3</v>
      </c>
      <c r="Q58" s="15">
        <f>P58*N58</f>
        <v>0.36499999999999999</v>
      </c>
      <c r="R58" s="14"/>
      <c r="S58" s="52"/>
    </row>
    <row r="59" spans="1:19" s="53" customFormat="1" ht="24" x14ac:dyDescent="0.25">
      <c r="A59" s="51"/>
      <c r="B59" s="17">
        <f t="shared" si="0"/>
        <v>52</v>
      </c>
      <c r="C59" s="23" t="s">
        <v>11</v>
      </c>
      <c r="D59" s="20" t="s">
        <v>89</v>
      </c>
      <c r="E59" s="20" t="s">
        <v>264</v>
      </c>
      <c r="F59" s="20" t="s">
        <v>406</v>
      </c>
      <c r="G59" s="20" t="s">
        <v>505</v>
      </c>
      <c r="H59" s="20" t="s">
        <v>629</v>
      </c>
      <c r="I59" s="20" t="s">
        <v>919</v>
      </c>
      <c r="J59" s="20" t="s">
        <v>717</v>
      </c>
      <c r="K59" s="20" t="s">
        <v>919</v>
      </c>
      <c r="L59" s="20">
        <v>1</v>
      </c>
      <c r="M59" s="20">
        <f t="shared" ref="M59" si="50">L59*5</f>
        <v>5</v>
      </c>
      <c r="N59" s="20">
        <v>10</v>
      </c>
      <c r="O59" s="45" t="s">
        <v>921</v>
      </c>
      <c r="P59" s="15">
        <v>3.3399999999999999E-2</v>
      </c>
      <c r="Q59" s="21">
        <f t="shared" ref="Q59" si="51">P59*N59</f>
        <v>0.33399999999999996</v>
      </c>
      <c r="R59" s="20"/>
      <c r="S59" s="20"/>
    </row>
    <row r="60" spans="1:19" s="53" customFormat="1" ht="24" x14ac:dyDescent="0.25">
      <c r="A60" s="51"/>
      <c r="B60" s="16">
        <f>ROW(B60) - ROW($B$7)</f>
        <v>53</v>
      </c>
      <c r="C60" s="22" t="s">
        <v>12</v>
      </c>
      <c r="D60" s="14" t="s">
        <v>90</v>
      </c>
      <c r="E60" s="14" t="s">
        <v>265</v>
      </c>
      <c r="F60" s="14" t="s">
        <v>405</v>
      </c>
      <c r="G60" s="14" t="s">
        <v>506</v>
      </c>
      <c r="H60" s="14" t="s">
        <v>630</v>
      </c>
      <c r="I60" s="20" t="s">
        <v>919</v>
      </c>
      <c r="J60" s="14" t="s">
        <v>718</v>
      </c>
      <c r="K60" s="20" t="s">
        <v>919</v>
      </c>
      <c r="L60" s="14">
        <v>1</v>
      </c>
      <c r="M60" s="14">
        <f>L60*5</f>
        <v>5</v>
      </c>
      <c r="N60" s="14">
        <v>50</v>
      </c>
      <c r="O60" s="45" t="s">
        <v>921</v>
      </c>
      <c r="P60" s="15">
        <v>1.2999999999999999E-2</v>
      </c>
      <c r="Q60" s="15">
        <f>P60*N60</f>
        <v>0.65</v>
      </c>
      <c r="R60" s="14"/>
      <c r="S60" s="52"/>
    </row>
    <row r="61" spans="1:19" s="53" customFormat="1" x14ac:dyDescent="0.25">
      <c r="A61" s="51"/>
      <c r="B61" s="17">
        <f t="shared" si="0"/>
        <v>54</v>
      </c>
      <c r="C61" s="23" t="s">
        <v>13</v>
      </c>
      <c r="D61" s="20" t="s">
        <v>91</v>
      </c>
      <c r="E61" s="20" t="s">
        <v>266</v>
      </c>
      <c r="F61" s="20" t="s">
        <v>410</v>
      </c>
      <c r="G61" s="20"/>
      <c r="H61" s="20"/>
      <c r="I61" s="20" t="s">
        <v>919</v>
      </c>
      <c r="J61" s="20" t="s">
        <v>719</v>
      </c>
      <c r="K61" s="20" t="s">
        <v>919</v>
      </c>
      <c r="L61" s="20">
        <v>1</v>
      </c>
      <c r="M61" s="20">
        <f t="shared" ref="M61" si="52">L61*5</f>
        <v>5</v>
      </c>
      <c r="N61" s="20">
        <v>10</v>
      </c>
      <c r="O61" s="45" t="s">
        <v>921</v>
      </c>
      <c r="P61" s="15">
        <v>0.11550000000000001</v>
      </c>
      <c r="Q61" s="21">
        <f t="shared" ref="Q61" si="53">P61*N61</f>
        <v>1.155</v>
      </c>
      <c r="R61" s="20"/>
      <c r="S61" s="20"/>
    </row>
    <row r="62" spans="1:19" s="53" customFormat="1" ht="36" x14ac:dyDescent="0.25">
      <c r="A62" s="51"/>
      <c r="B62" s="16">
        <f>ROW(B62) - ROW($B$7)</f>
        <v>55</v>
      </c>
      <c r="C62" s="22" t="s">
        <v>11</v>
      </c>
      <c r="D62" s="14" t="s">
        <v>92</v>
      </c>
      <c r="E62" s="14" t="s">
        <v>267</v>
      </c>
      <c r="F62" s="14" t="s">
        <v>405</v>
      </c>
      <c r="G62" s="14" t="s">
        <v>507</v>
      </c>
      <c r="H62" s="14" t="s">
        <v>631</v>
      </c>
      <c r="I62" s="20" t="s">
        <v>919</v>
      </c>
      <c r="J62" s="14" t="s">
        <v>720</v>
      </c>
      <c r="K62" s="20" t="s">
        <v>919</v>
      </c>
      <c r="L62" s="14">
        <v>5</v>
      </c>
      <c r="M62" s="14">
        <f>L62*5</f>
        <v>25</v>
      </c>
      <c r="N62" s="14">
        <v>100</v>
      </c>
      <c r="O62" s="45" t="s">
        <v>921</v>
      </c>
      <c r="P62" s="15">
        <v>5.7999999999999996E-3</v>
      </c>
      <c r="Q62" s="15">
        <f>P62*N62</f>
        <v>0.57999999999999996</v>
      </c>
      <c r="R62" s="14"/>
      <c r="S62" s="52"/>
    </row>
    <row r="63" spans="1:19" s="53" customFormat="1" ht="24" x14ac:dyDescent="0.25">
      <c r="A63" s="51"/>
      <c r="B63" s="17">
        <f t="shared" si="0"/>
        <v>56</v>
      </c>
      <c r="C63" s="23" t="s">
        <v>14</v>
      </c>
      <c r="D63" s="20" t="s">
        <v>93</v>
      </c>
      <c r="E63" s="20" t="s">
        <v>268</v>
      </c>
      <c r="F63" s="20" t="s">
        <v>411</v>
      </c>
      <c r="G63" s="20" t="s">
        <v>508</v>
      </c>
      <c r="H63" s="20" t="s">
        <v>632</v>
      </c>
      <c r="I63" s="20" t="s">
        <v>919</v>
      </c>
      <c r="J63" s="20" t="s">
        <v>721</v>
      </c>
      <c r="K63" s="20" t="s">
        <v>919</v>
      </c>
      <c r="L63" s="20">
        <v>1</v>
      </c>
      <c r="M63" s="20">
        <f t="shared" ref="M63" si="54">L63*5</f>
        <v>5</v>
      </c>
      <c r="N63" s="20">
        <v>10</v>
      </c>
      <c r="O63" s="45" t="s">
        <v>921</v>
      </c>
      <c r="P63" s="15">
        <v>0.17180000000000001</v>
      </c>
      <c r="Q63" s="21">
        <f t="shared" ref="Q63" si="55">P63*N63</f>
        <v>1.718</v>
      </c>
      <c r="R63" s="20"/>
      <c r="S63" s="20"/>
    </row>
    <row r="64" spans="1:19" s="53" customFormat="1" ht="36" x14ac:dyDescent="0.25">
      <c r="A64" s="51"/>
      <c r="B64" s="16">
        <f>ROW(B64) - ROW($B$7)</f>
        <v>57</v>
      </c>
      <c r="C64" s="22" t="s">
        <v>15</v>
      </c>
      <c r="D64" s="14" t="s">
        <v>94</v>
      </c>
      <c r="E64" s="14" t="s">
        <v>269</v>
      </c>
      <c r="F64" s="14" t="s">
        <v>412</v>
      </c>
      <c r="G64" s="14" t="s">
        <v>509</v>
      </c>
      <c r="H64" s="14" t="s">
        <v>633</v>
      </c>
      <c r="I64" s="20" t="s">
        <v>919</v>
      </c>
      <c r="J64" s="14" t="s">
        <v>722</v>
      </c>
      <c r="K64" s="14" t="s">
        <v>855</v>
      </c>
      <c r="L64" s="14">
        <v>1</v>
      </c>
      <c r="M64" s="14">
        <f>L64*5</f>
        <v>5</v>
      </c>
      <c r="N64" s="14">
        <v>100</v>
      </c>
      <c r="O64" s="45" t="s">
        <v>921</v>
      </c>
      <c r="P64" s="15">
        <v>6.1999999999999998E-3</v>
      </c>
      <c r="Q64" s="15">
        <f>P64*N64</f>
        <v>0.62</v>
      </c>
      <c r="R64" s="14"/>
      <c r="S64" s="52"/>
    </row>
    <row r="65" spans="1:19" s="53" customFormat="1" x14ac:dyDescent="0.25">
      <c r="A65" s="51"/>
      <c r="B65" s="17">
        <f t="shared" si="0"/>
        <v>58</v>
      </c>
      <c r="C65" s="23" t="s">
        <v>15</v>
      </c>
      <c r="D65" s="20" t="s">
        <v>95</v>
      </c>
      <c r="E65" s="20" t="s">
        <v>270</v>
      </c>
      <c r="F65" s="20" t="s">
        <v>412</v>
      </c>
      <c r="G65" s="20" t="s">
        <v>510</v>
      </c>
      <c r="H65" s="20" t="s">
        <v>616</v>
      </c>
      <c r="I65" s="20" t="s">
        <v>919</v>
      </c>
      <c r="J65" s="20" t="s">
        <v>723</v>
      </c>
      <c r="K65" s="20" t="s">
        <v>919</v>
      </c>
      <c r="L65" s="20">
        <v>1</v>
      </c>
      <c r="M65" s="20">
        <f t="shared" ref="M65" si="56">L65*5</f>
        <v>5</v>
      </c>
      <c r="N65" s="20">
        <v>100</v>
      </c>
      <c r="O65" s="45" t="s">
        <v>921</v>
      </c>
      <c r="P65" s="15">
        <v>6.4999999999999997E-3</v>
      </c>
      <c r="Q65" s="21">
        <f t="shared" ref="Q65" si="57">P65*N65</f>
        <v>0.65</v>
      </c>
      <c r="R65" s="20"/>
      <c r="S65" s="20"/>
    </row>
    <row r="66" spans="1:19" s="53" customFormat="1" x14ac:dyDescent="0.25">
      <c r="A66" s="51"/>
      <c r="B66" s="16">
        <f>ROW(B66) - ROW($B$7)</f>
        <v>59</v>
      </c>
      <c r="C66" s="22" t="s">
        <v>15</v>
      </c>
      <c r="D66" s="14" t="s">
        <v>96</v>
      </c>
      <c r="E66" s="14" t="s">
        <v>271</v>
      </c>
      <c r="F66" s="14" t="s">
        <v>413</v>
      </c>
      <c r="G66" s="14" t="s">
        <v>511</v>
      </c>
      <c r="H66" s="14" t="s">
        <v>619</v>
      </c>
      <c r="I66" s="20" t="s">
        <v>919</v>
      </c>
      <c r="J66" s="14" t="s">
        <v>724</v>
      </c>
      <c r="K66" s="20" t="s">
        <v>919</v>
      </c>
      <c r="L66" s="14">
        <v>2</v>
      </c>
      <c r="M66" s="14">
        <f>L66*5</f>
        <v>10</v>
      </c>
      <c r="N66" s="14">
        <v>20</v>
      </c>
      <c r="O66" s="45" t="s">
        <v>921</v>
      </c>
      <c r="P66" s="15">
        <v>4.8800000000000003E-2</v>
      </c>
      <c r="Q66" s="15">
        <f>P66*N66</f>
        <v>0.97600000000000009</v>
      </c>
      <c r="R66" s="14"/>
      <c r="S66" s="52"/>
    </row>
    <row r="67" spans="1:19" s="53" customFormat="1" ht="48" x14ac:dyDescent="0.25">
      <c r="A67" s="51"/>
      <c r="B67" s="17">
        <f t="shared" si="0"/>
        <v>60</v>
      </c>
      <c r="C67" s="23" t="s">
        <v>16</v>
      </c>
      <c r="D67" s="20" t="s">
        <v>97</v>
      </c>
      <c r="E67" s="20" t="s">
        <v>272</v>
      </c>
      <c r="F67" s="20" t="s">
        <v>414</v>
      </c>
      <c r="G67" s="20" t="s">
        <v>512</v>
      </c>
      <c r="H67" s="20" t="s">
        <v>634</v>
      </c>
      <c r="I67" s="20" t="s">
        <v>919</v>
      </c>
      <c r="J67" s="20" t="s">
        <v>725</v>
      </c>
      <c r="K67" s="20" t="s">
        <v>919</v>
      </c>
      <c r="L67" s="20">
        <v>2</v>
      </c>
      <c r="M67" s="20">
        <f t="shared" ref="M67" si="58">L67*5</f>
        <v>10</v>
      </c>
      <c r="N67" s="20">
        <v>20</v>
      </c>
      <c r="O67" s="45" t="s">
        <v>921</v>
      </c>
      <c r="P67" s="15">
        <v>2.8799999999999999E-2</v>
      </c>
      <c r="Q67" s="21">
        <f t="shared" ref="Q67" si="59">P67*N67</f>
        <v>0.57599999999999996</v>
      </c>
      <c r="R67" s="20"/>
      <c r="S67" s="20"/>
    </row>
    <row r="68" spans="1:19" s="53" customFormat="1" ht="24" x14ac:dyDescent="0.25">
      <c r="A68" s="51"/>
      <c r="B68" s="16">
        <f>ROW(B68) - ROW($B$7)</f>
        <v>61</v>
      </c>
      <c r="C68" s="22" t="s">
        <v>17</v>
      </c>
      <c r="D68" s="14" t="s">
        <v>98</v>
      </c>
      <c r="E68" s="14" t="s">
        <v>273</v>
      </c>
      <c r="F68" s="14" t="s">
        <v>933</v>
      </c>
      <c r="G68" s="14" t="s">
        <v>415</v>
      </c>
      <c r="H68" s="14" t="s">
        <v>635</v>
      </c>
      <c r="I68" s="20" t="s">
        <v>919</v>
      </c>
      <c r="J68" s="14" t="s">
        <v>726</v>
      </c>
      <c r="K68" s="20" t="s">
        <v>919</v>
      </c>
      <c r="L68" s="14">
        <v>1</v>
      </c>
      <c r="M68" s="14">
        <f>L68*5</f>
        <v>5</v>
      </c>
      <c r="N68" s="14">
        <v>10</v>
      </c>
      <c r="O68" s="45" t="s">
        <v>921</v>
      </c>
      <c r="P68" s="15">
        <v>0.1537</v>
      </c>
      <c r="Q68" s="15">
        <f>P68*N68</f>
        <v>1.5369999999999999</v>
      </c>
      <c r="R68" s="14"/>
      <c r="S68" s="52"/>
    </row>
    <row r="69" spans="1:19" s="53" customFormat="1" x14ac:dyDescent="0.25">
      <c r="A69" s="51"/>
      <c r="B69" s="17">
        <f t="shared" si="0"/>
        <v>62</v>
      </c>
      <c r="C69" s="23" t="s">
        <v>18</v>
      </c>
      <c r="D69" s="42" t="s">
        <v>99</v>
      </c>
      <c r="E69" s="42" t="s">
        <v>274</v>
      </c>
      <c r="F69" s="42" t="s">
        <v>416</v>
      </c>
      <c r="G69" s="42" t="s">
        <v>513</v>
      </c>
      <c r="H69" s="42" t="s">
        <v>919</v>
      </c>
      <c r="I69" s="42" t="s">
        <v>919</v>
      </c>
      <c r="J69" s="42" t="s">
        <v>919</v>
      </c>
      <c r="K69" s="42" t="s">
        <v>919</v>
      </c>
      <c r="L69" s="42">
        <v>1</v>
      </c>
      <c r="M69" s="42">
        <f t="shared" ref="M69" si="60">L69*5</f>
        <v>5</v>
      </c>
      <c r="N69" s="42" t="s">
        <v>919</v>
      </c>
      <c r="O69" s="42" t="s">
        <v>919</v>
      </c>
      <c r="P69" s="46" t="s">
        <v>919</v>
      </c>
      <c r="Q69" s="47" t="s">
        <v>919</v>
      </c>
      <c r="R69" s="42" t="s">
        <v>919</v>
      </c>
      <c r="S69" s="43" t="s">
        <v>920</v>
      </c>
    </row>
    <row r="70" spans="1:19" s="53" customFormat="1" ht="48" x14ac:dyDescent="0.25">
      <c r="A70" s="51"/>
      <c r="B70" s="16">
        <f>ROW(B70) - ROW($B$7)</f>
        <v>63</v>
      </c>
      <c r="C70" s="22" t="s">
        <v>16</v>
      </c>
      <c r="D70" s="14" t="s">
        <v>100</v>
      </c>
      <c r="E70" s="14" t="s">
        <v>275</v>
      </c>
      <c r="F70" s="14" t="s">
        <v>417</v>
      </c>
      <c r="G70" s="14" t="s">
        <v>514</v>
      </c>
      <c r="H70" s="14" t="s">
        <v>634</v>
      </c>
      <c r="I70" s="14" t="s">
        <v>919</v>
      </c>
      <c r="J70" s="14" t="s">
        <v>727</v>
      </c>
      <c r="K70" s="20" t="s">
        <v>919</v>
      </c>
      <c r="L70" s="14">
        <v>1</v>
      </c>
      <c r="M70" s="14">
        <f>L70*5</f>
        <v>5</v>
      </c>
      <c r="N70" s="14">
        <v>10</v>
      </c>
      <c r="O70" s="45" t="s">
        <v>921</v>
      </c>
      <c r="P70" s="15">
        <v>4.58E-2</v>
      </c>
      <c r="Q70" s="15">
        <f>P70*N70</f>
        <v>0.45800000000000002</v>
      </c>
      <c r="R70" s="14"/>
      <c r="S70" s="52"/>
    </row>
    <row r="71" spans="1:19" s="53" customFormat="1" ht="48" x14ac:dyDescent="0.25">
      <c r="A71" s="51"/>
      <c r="B71" s="17">
        <f t="shared" si="0"/>
        <v>64</v>
      </c>
      <c r="C71" s="23" t="s">
        <v>19</v>
      </c>
      <c r="D71" s="20" t="s">
        <v>101</v>
      </c>
      <c r="E71" s="20" t="s">
        <v>276</v>
      </c>
      <c r="F71" s="20" t="s">
        <v>933</v>
      </c>
      <c r="G71" s="20" t="s">
        <v>418</v>
      </c>
      <c r="H71" s="20" t="s">
        <v>636</v>
      </c>
      <c r="I71" s="14" t="s">
        <v>919</v>
      </c>
      <c r="J71" s="20" t="s">
        <v>728</v>
      </c>
      <c r="K71" s="20" t="s">
        <v>919</v>
      </c>
      <c r="L71" s="20">
        <v>1</v>
      </c>
      <c r="M71" s="20">
        <f t="shared" ref="M71" si="61">L71*5</f>
        <v>5</v>
      </c>
      <c r="N71" s="20">
        <v>6</v>
      </c>
      <c r="O71" s="45" t="s">
        <v>921</v>
      </c>
      <c r="P71" s="15">
        <v>0.73409999999999997</v>
      </c>
      <c r="Q71" s="21">
        <f t="shared" ref="Q71" si="62">P71*N71</f>
        <v>4.4046000000000003</v>
      </c>
      <c r="R71" s="20"/>
      <c r="S71" s="20"/>
    </row>
    <row r="72" spans="1:19" s="53" customFormat="1" x14ac:dyDescent="0.25">
      <c r="A72" s="51"/>
      <c r="B72" s="16">
        <f>ROW(B72) - ROW($B$7)</f>
        <v>65</v>
      </c>
      <c r="C72" s="22" t="s">
        <v>17</v>
      </c>
      <c r="D72" s="14" t="s">
        <v>102</v>
      </c>
      <c r="E72" s="14" t="s">
        <v>277</v>
      </c>
      <c r="F72" s="20" t="s">
        <v>933</v>
      </c>
      <c r="G72" s="14" t="s">
        <v>419</v>
      </c>
      <c r="H72" s="14" t="s">
        <v>637</v>
      </c>
      <c r="I72" s="14" t="s">
        <v>919</v>
      </c>
      <c r="J72" s="14" t="s">
        <v>729</v>
      </c>
      <c r="K72" s="20" t="s">
        <v>919</v>
      </c>
      <c r="L72" s="14">
        <v>1</v>
      </c>
      <c r="M72" s="14">
        <f>L72*5</f>
        <v>5</v>
      </c>
      <c r="N72" s="14">
        <v>6</v>
      </c>
      <c r="O72" s="45" t="s">
        <v>921</v>
      </c>
      <c r="P72" s="15">
        <v>1.1027</v>
      </c>
      <c r="Q72" s="15">
        <f>P72*N72</f>
        <v>6.6162000000000001</v>
      </c>
      <c r="R72" s="14"/>
      <c r="S72" s="52"/>
    </row>
    <row r="73" spans="1:19" s="53" customFormat="1" x14ac:dyDescent="0.25">
      <c r="A73" s="51"/>
      <c r="B73" s="17">
        <f t="shared" si="0"/>
        <v>66</v>
      </c>
      <c r="C73" s="23" t="s">
        <v>20</v>
      </c>
      <c r="D73" s="20" t="s">
        <v>103</v>
      </c>
      <c r="E73" s="20" t="s">
        <v>278</v>
      </c>
      <c r="F73" s="20" t="s">
        <v>933</v>
      </c>
      <c r="G73" s="20" t="s">
        <v>420</v>
      </c>
      <c r="H73" s="20" t="s">
        <v>638</v>
      </c>
      <c r="I73" s="14" t="s">
        <v>919</v>
      </c>
      <c r="J73" s="20" t="s">
        <v>730</v>
      </c>
      <c r="K73" s="20" t="s">
        <v>919</v>
      </c>
      <c r="L73" s="20">
        <v>1</v>
      </c>
      <c r="M73" s="20">
        <f t="shared" ref="M73" si="63">L73*5</f>
        <v>5</v>
      </c>
      <c r="N73" s="20">
        <v>10</v>
      </c>
      <c r="O73" s="45" t="s">
        <v>921</v>
      </c>
      <c r="P73" s="15">
        <v>0.27039999999999997</v>
      </c>
      <c r="Q73" s="21">
        <f t="shared" ref="Q73" si="64">P73*N73</f>
        <v>2.7039999999999997</v>
      </c>
      <c r="R73" s="20"/>
      <c r="S73" s="20"/>
    </row>
    <row r="74" spans="1:19" s="53" customFormat="1" ht="36" x14ac:dyDescent="0.25">
      <c r="A74" s="51"/>
      <c r="B74" s="16">
        <f>ROW(B74) - ROW($B$7)</f>
        <v>67</v>
      </c>
      <c r="C74" s="22" t="s">
        <v>21</v>
      </c>
      <c r="D74" s="14" t="s">
        <v>104</v>
      </c>
      <c r="E74" s="14" t="s">
        <v>279</v>
      </c>
      <c r="F74" s="20" t="s">
        <v>933</v>
      </c>
      <c r="G74" s="14" t="s">
        <v>421</v>
      </c>
      <c r="H74" s="14" t="s">
        <v>636</v>
      </c>
      <c r="I74" s="14" t="s">
        <v>919</v>
      </c>
      <c r="J74" s="14" t="s">
        <v>731</v>
      </c>
      <c r="K74" s="20" t="s">
        <v>919</v>
      </c>
      <c r="L74" s="14">
        <v>1</v>
      </c>
      <c r="M74" s="14">
        <f>L74*5</f>
        <v>5</v>
      </c>
      <c r="N74" s="14">
        <v>6</v>
      </c>
      <c r="O74" s="45" t="s">
        <v>921</v>
      </c>
      <c r="P74" s="15">
        <v>0.50729999999999997</v>
      </c>
      <c r="Q74" s="15">
        <f>P74*N74</f>
        <v>3.0438000000000001</v>
      </c>
      <c r="R74" s="14"/>
      <c r="S74" s="52"/>
    </row>
    <row r="75" spans="1:19" s="53" customFormat="1" ht="24" x14ac:dyDescent="0.25">
      <c r="A75" s="51"/>
      <c r="B75" s="17">
        <f t="shared" si="0"/>
        <v>68</v>
      </c>
      <c r="C75" s="23" t="s">
        <v>22</v>
      </c>
      <c r="D75" s="20" t="s">
        <v>105</v>
      </c>
      <c r="E75" s="20" t="s">
        <v>280</v>
      </c>
      <c r="F75" s="20" t="s">
        <v>933</v>
      </c>
      <c r="G75" s="20" t="s">
        <v>422</v>
      </c>
      <c r="H75" s="20" t="s">
        <v>639</v>
      </c>
      <c r="I75" s="14" t="s">
        <v>919</v>
      </c>
      <c r="J75" s="20" t="s">
        <v>732</v>
      </c>
      <c r="K75" s="20" t="s">
        <v>919</v>
      </c>
      <c r="L75" s="20">
        <v>1</v>
      </c>
      <c r="M75" s="20">
        <f t="shared" ref="M75" si="65">L75*5</f>
        <v>5</v>
      </c>
      <c r="N75" s="20">
        <v>6</v>
      </c>
      <c r="O75" s="45" t="s">
        <v>921</v>
      </c>
      <c r="P75" s="15">
        <v>0.51019999999999999</v>
      </c>
      <c r="Q75" s="21">
        <f t="shared" ref="Q75" si="66">P75*N75</f>
        <v>3.0611999999999999</v>
      </c>
      <c r="R75" s="20"/>
      <c r="S75" s="20"/>
    </row>
    <row r="76" spans="1:19" s="53" customFormat="1" ht="25.5" x14ac:dyDescent="0.25">
      <c r="A76" s="51"/>
      <c r="B76" s="16">
        <f>ROW(B76) - ROW($B$7)</f>
        <v>69</v>
      </c>
      <c r="C76" s="22" t="s">
        <v>23</v>
      </c>
      <c r="D76" s="14" t="s">
        <v>106</v>
      </c>
      <c r="E76" s="14" t="s">
        <v>281</v>
      </c>
      <c r="F76" s="20" t="s">
        <v>933</v>
      </c>
      <c r="G76" s="14" t="s">
        <v>423</v>
      </c>
      <c r="H76" s="14" t="s">
        <v>640</v>
      </c>
      <c r="I76" s="14" t="s">
        <v>919</v>
      </c>
      <c r="J76" s="14" t="s">
        <v>733</v>
      </c>
      <c r="K76" s="20" t="s">
        <v>919</v>
      </c>
      <c r="L76" s="14">
        <v>1</v>
      </c>
      <c r="M76" s="14">
        <f>L76*5</f>
        <v>5</v>
      </c>
      <c r="N76" s="14">
        <v>6</v>
      </c>
      <c r="O76" s="45" t="s">
        <v>921</v>
      </c>
      <c r="P76" s="15">
        <v>6.5453000000000001</v>
      </c>
      <c r="Q76" s="15">
        <f>P76*N76</f>
        <v>39.271799999999999</v>
      </c>
      <c r="R76" s="14"/>
      <c r="S76" s="52"/>
    </row>
    <row r="77" spans="1:19" s="53" customFormat="1" x14ac:dyDescent="0.25">
      <c r="A77" s="51"/>
      <c r="B77" s="17">
        <f t="shared" si="0"/>
        <v>70</v>
      </c>
      <c r="C77" s="23" t="s">
        <v>24</v>
      </c>
      <c r="D77" s="20" t="s">
        <v>107</v>
      </c>
      <c r="E77" s="20" t="s">
        <v>282</v>
      </c>
      <c r="F77" s="20" t="s">
        <v>933</v>
      </c>
      <c r="G77" s="20" t="s">
        <v>424</v>
      </c>
      <c r="H77" s="20" t="s">
        <v>622</v>
      </c>
      <c r="I77" s="14" t="s">
        <v>919</v>
      </c>
      <c r="J77" s="20" t="s">
        <v>734</v>
      </c>
      <c r="K77" s="20" t="s">
        <v>919</v>
      </c>
      <c r="L77" s="20">
        <v>1</v>
      </c>
      <c r="M77" s="20">
        <f t="shared" ref="M77" si="67">L77*5</f>
        <v>5</v>
      </c>
      <c r="N77" s="20">
        <v>6</v>
      </c>
      <c r="O77" s="45" t="s">
        <v>921</v>
      </c>
      <c r="P77" s="15">
        <v>0.57730000000000004</v>
      </c>
      <c r="Q77" s="21">
        <f t="shared" ref="Q77" si="68">P77*N77</f>
        <v>3.4638</v>
      </c>
      <c r="R77" s="20"/>
      <c r="S77" s="20"/>
    </row>
    <row r="78" spans="1:19" s="53" customFormat="1" ht="24" x14ac:dyDescent="0.25">
      <c r="A78" s="51"/>
      <c r="B78" s="16">
        <f>ROW(B78) - ROW($B$7)</f>
        <v>71</v>
      </c>
      <c r="C78" s="22" t="s">
        <v>25</v>
      </c>
      <c r="D78" s="14" t="s">
        <v>108</v>
      </c>
      <c r="E78" s="14" t="s">
        <v>283</v>
      </c>
      <c r="F78" s="20" t="s">
        <v>933</v>
      </c>
      <c r="G78" s="14" t="s">
        <v>425</v>
      </c>
      <c r="H78" s="14" t="s">
        <v>641</v>
      </c>
      <c r="I78" s="14" t="s">
        <v>919</v>
      </c>
      <c r="J78" s="14" t="s">
        <v>735</v>
      </c>
      <c r="K78" s="14" t="s">
        <v>856</v>
      </c>
      <c r="L78" s="14">
        <v>1</v>
      </c>
      <c r="M78" s="14">
        <f>L78*5</f>
        <v>5</v>
      </c>
      <c r="N78" s="14">
        <v>6</v>
      </c>
      <c r="O78" s="45" t="s">
        <v>921</v>
      </c>
      <c r="P78" s="15">
        <v>0.7712</v>
      </c>
      <c r="Q78" s="15">
        <f>P78*N78</f>
        <v>4.6272000000000002</v>
      </c>
      <c r="R78" s="14"/>
      <c r="S78" s="52"/>
    </row>
    <row r="79" spans="1:19" s="53" customFormat="1" ht="24" x14ac:dyDescent="0.25">
      <c r="A79" s="51"/>
      <c r="B79" s="17">
        <f t="shared" si="0"/>
        <v>72</v>
      </c>
      <c r="C79" s="23" t="s">
        <v>25</v>
      </c>
      <c r="D79" s="20" t="s">
        <v>109</v>
      </c>
      <c r="E79" s="20" t="s">
        <v>284</v>
      </c>
      <c r="F79" s="20" t="s">
        <v>933</v>
      </c>
      <c r="G79" s="20" t="s">
        <v>426</v>
      </c>
      <c r="H79" s="20" t="s">
        <v>642</v>
      </c>
      <c r="I79" s="14" t="s">
        <v>919</v>
      </c>
      <c r="J79" s="20" t="s">
        <v>736</v>
      </c>
      <c r="K79" s="20" t="s">
        <v>857</v>
      </c>
      <c r="L79" s="20">
        <v>2</v>
      </c>
      <c r="M79" s="20">
        <f t="shared" ref="M79" si="69">L79*5</f>
        <v>10</v>
      </c>
      <c r="N79" s="20">
        <v>15</v>
      </c>
      <c r="O79" s="45" t="s">
        <v>921</v>
      </c>
      <c r="P79" s="15">
        <v>0.2671</v>
      </c>
      <c r="Q79" s="21">
        <f t="shared" ref="Q79" si="70">P79*N79</f>
        <v>4.0065</v>
      </c>
      <c r="R79" s="20"/>
      <c r="S79" s="20"/>
    </row>
    <row r="80" spans="1:19" s="53" customFormat="1" ht="24" x14ac:dyDescent="0.25">
      <c r="A80" s="51"/>
      <c r="B80" s="16">
        <f>ROW(B80) - ROW($B$7)</f>
        <v>73</v>
      </c>
      <c r="C80" s="22" t="s">
        <v>25</v>
      </c>
      <c r="D80" s="14" t="s">
        <v>110</v>
      </c>
      <c r="E80" s="14" t="s">
        <v>285</v>
      </c>
      <c r="F80" s="20" t="s">
        <v>933</v>
      </c>
      <c r="G80" s="14" t="s">
        <v>427</v>
      </c>
      <c r="H80" s="14" t="s">
        <v>642</v>
      </c>
      <c r="I80" s="14" t="s">
        <v>919</v>
      </c>
      <c r="J80" s="14" t="s">
        <v>737</v>
      </c>
      <c r="K80" s="14" t="s">
        <v>858</v>
      </c>
      <c r="L80" s="14">
        <v>5</v>
      </c>
      <c r="M80" s="14">
        <f>L80*5</f>
        <v>25</v>
      </c>
      <c r="N80" s="14">
        <v>30</v>
      </c>
      <c r="O80" s="45" t="s">
        <v>921</v>
      </c>
      <c r="P80" s="15">
        <v>8.6499999999999994E-2</v>
      </c>
      <c r="Q80" s="15">
        <f>P80*N80</f>
        <v>2.5949999999999998</v>
      </c>
      <c r="R80" s="14"/>
      <c r="S80" s="52"/>
    </row>
    <row r="81" spans="1:19" s="53" customFormat="1" ht="24" x14ac:dyDescent="0.25">
      <c r="A81" s="51"/>
      <c r="B81" s="17">
        <f t="shared" si="0"/>
        <v>74</v>
      </c>
      <c r="C81" s="23" t="s">
        <v>25</v>
      </c>
      <c r="D81" s="20" t="s">
        <v>111</v>
      </c>
      <c r="E81" s="20" t="s">
        <v>286</v>
      </c>
      <c r="F81" s="20" t="s">
        <v>933</v>
      </c>
      <c r="G81" s="20" t="s">
        <v>515</v>
      </c>
      <c r="H81" s="20" t="s">
        <v>643</v>
      </c>
      <c r="I81" s="14" t="s">
        <v>919</v>
      </c>
      <c r="J81" s="20" t="s">
        <v>738</v>
      </c>
      <c r="K81" s="20" t="s">
        <v>859</v>
      </c>
      <c r="L81" s="20">
        <v>1</v>
      </c>
      <c r="M81" s="20">
        <f t="shared" ref="M81" si="71">L81*5</f>
        <v>5</v>
      </c>
      <c r="N81" s="20">
        <v>10</v>
      </c>
      <c r="O81" s="45" t="s">
        <v>921</v>
      </c>
      <c r="P81" s="15">
        <v>3.7499999999999999E-2</v>
      </c>
      <c r="Q81" s="21">
        <f t="shared" ref="Q81" si="72">P81*N81</f>
        <v>0.375</v>
      </c>
      <c r="R81" s="20"/>
      <c r="S81" s="20"/>
    </row>
    <row r="82" spans="1:19" s="53" customFormat="1" x14ac:dyDescent="0.25">
      <c r="A82" s="51"/>
      <c r="B82" s="16">
        <f>ROW(B82) - ROW($B$7)</f>
        <v>75</v>
      </c>
      <c r="C82" s="22" t="s">
        <v>25</v>
      </c>
      <c r="D82" s="14" t="s">
        <v>112</v>
      </c>
      <c r="E82" s="14" t="s">
        <v>287</v>
      </c>
      <c r="F82" s="20" t="s">
        <v>933</v>
      </c>
      <c r="G82" s="14" t="s">
        <v>516</v>
      </c>
      <c r="H82" s="14" t="s">
        <v>643</v>
      </c>
      <c r="I82" s="14" t="s">
        <v>919</v>
      </c>
      <c r="J82" s="14" t="s">
        <v>739</v>
      </c>
      <c r="K82" s="14" t="s">
        <v>860</v>
      </c>
      <c r="L82" s="14">
        <v>1</v>
      </c>
      <c r="M82" s="14">
        <f>L82*5</f>
        <v>5</v>
      </c>
      <c r="N82" s="14">
        <v>10</v>
      </c>
      <c r="O82" s="45" t="s">
        <v>921</v>
      </c>
      <c r="P82" s="15">
        <v>7.5399999999999995E-2</v>
      </c>
      <c r="Q82" s="15">
        <f>P82*N82</f>
        <v>0.754</v>
      </c>
      <c r="R82" s="14"/>
      <c r="S82" s="52"/>
    </row>
    <row r="83" spans="1:19" s="53" customFormat="1" ht="24" x14ac:dyDescent="0.25">
      <c r="A83" s="51"/>
      <c r="B83" s="17">
        <f t="shared" si="0"/>
        <v>76</v>
      </c>
      <c r="C83" s="23" t="s">
        <v>25</v>
      </c>
      <c r="D83" s="20" t="s">
        <v>113</v>
      </c>
      <c r="E83" s="20" t="s">
        <v>288</v>
      </c>
      <c r="F83" s="20" t="s">
        <v>933</v>
      </c>
      <c r="G83" s="20" t="s">
        <v>428</v>
      </c>
      <c r="H83" s="20" t="s">
        <v>642</v>
      </c>
      <c r="I83" s="14" t="s">
        <v>919</v>
      </c>
      <c r="J83" s="20" t="s">
        <v>740</v>
      </c>
      <c r="K83" s="20" t="s">
        <v>861</v>
      </c>
      <c r="L83" s="20">
        <v>1</v>
      </c>
      <c r="M83" s="20">
        <f t="shared" ref="M83" si="73">L83*5</f>
        <v>5</v>
      </c>
      <c r="N83" s="20">
        <v>10</v>
      </c>
      <c r="O83" s="45" t="s">
        <v>921</v>
      </c>
      <c r="P83" s="15">
        <v>5.4899999999999997E-2</v>
      </c>
      <c r="Q83" s="21">
        <f t="shared" ref="Q83" si="74">P83*N83</f>
        <v>0.54899999999999993</v>
      </c>
      <c r="R83" s="20"/>
      <c r="S83" s="20"/>
    </row>
    <row r="84" spans="1:19" s="53" customFormat="1" x14ac:dyDescent="0.25">
      <c r="A84" s="51"/>
      <c r="B84" s="16">
        <f>ROW(B84) - ROW($B$7)</f>
        <v>77</v>
      </c>
      <c r="C84" s="23" t="s">
        <v>25</v>
      </c>
      <c r="D84" s="14" t="s">
        <v>114</v>
      </c>
      <c r="E84" s="14" t="s">
        <v>289</v>
      </c>
      <c r="F84" s="20" t="s">
        <v>933</v>
      </c>
      <c r="G84" s="14" t="s">
        <v>517</v>
      </c>
      <c r="H84" s="14" t="s">
        <v>643</v>
      </c>
      <c r="I84" s="14" t="s">
        <v>919</v>
      </c>
      <c r="J84" s="14" t="s">
        <v>741</v>
      </c>
      <c r="K84" s="14" t="s">
        <v>856</v>
      </c>
      <c r="L84" s="14">
        <v>1</v>
      </c>
      <c r="M84" s="14">
        <f>L84*5</f>
        <v>5</v>
      </c>
      <c r="N84" s="14">
        <v>10</v>
      </c>
      <c r="O84" s="45" t="s">
        <v>921</v>
      </c>
      <c r="P84" s="15">
        <v>5.3999999999999999E-2</v>
      </c>
      <c r="Q84" s="15">
        <f>P84*N84</f>
        <v>0.54</v>
      </c>
      <c r="R84" s="14"/>
      <c r="S84" s="52"/>
    </row>
    <row r="85" spans="1:19" s="53" customFormat="1" ht="24" x14ac:dyDescent="0.25">
      <c r="A85" s="51"/>
      <c r="B85" s="17">
        <f t="shared" si="0"/>
        <v>78</v>
      </c>
      <c r="C85" s="23" t="s">
        <v>26</v>
      </c>
      <c r="D85" s="20" t="s">
        <v>115</v>
      </c>
      <c r="E85" s="20" t="s">
        <v>290</v>
      </c>
      <c r="F85" s="20">
        <v>302</v>
      </c>
      <c r="G85" s="20" t="s">
        <v>518</v>
      </c>
      <c r="H85" s="20" t="s">
        <v>643</v>
      </c>
      <c r="I85" s="14" t="s">
        <v>919</v>
      </c>
      <c r="J85" s="20" t="s">
        <v>742</v>
      </c>
      <c r="K85" s="20" t="s">
        <v>919</v>
      </c>
      <c r="L85" s="20">
        <v>1</v>
      </c>
      <c r="M85" s="20">
        <f t="shared" ref="M85" si="75">L85*5</f>
        <v>5</v>
      </c>
      <c r="N85" s="20">
        <v>20</v>
      </c>
      <c r="O85" s="45" t="s">
        <v>921</v>
      </c>
      <c r="P85" s="15">
        <v>1.9300000000000001E-2</v>
      </c>
      <c r="Q85" s="21">
        <f t="shared" ref="Q85" si="76">P85*N85</f>
        <v>0.38600000000000001</v>
      </c>
      <c r="R85" s="20"/>
      <c r="S85" s="20"/>
    </row>
    <row r="86" spans="1:19" s="53" customFormat="1" ht="24" x14ac:dyDescent="0.25">
      <c r="A86" s="51"/>
      <c r="B86" s="16">
        <f>ROW(B86) - ROW($B$7)</f>
        <v>79</v>
      </c>
      <c r="C86" s="22" t="s">
        <v>25</v>
      </c>
      <c r="D86" s="14" t="s">
        <v>116</v>
      </c>
      <c r="E86" s="14" t="s">
        <v>291</v>
      </c>
      <c r="F86" s="14" t="s">
        <v>413</v>
      </c>
      <c r="G86" s="14" t="s">
        <v>519</v>
      </c>
      <c r="H86" s="14" t="s">
        <v>644</v>
      </c>
      <c r="I86" s="14" t="s">
        <v>919</v>
      </c>
      <c r="J86" s="14" t="s">
        <v>743</v>
      </c>
      <c r="K86" s="14" t="s">
        <v>862</v>
      </c>
      <c r="L86" s="14">
        <v>1</v>
      </c>
      <c r="M86" s="14">
        <f>L86*5</f>
        <v>5</v>
      </c>
      <c r="N86" s="14">
        <v>10</v>
      </c>
      <c r="O86" s="45" t="s">
        <v>921</v>
      </c>
      <c r="P86" s="15">
        <v>4.7699999999999999E-2</v>
      </c>
      <c r="Q86" s="15">
        <f>P86*N86</f>
        <v>0.47699999999999998</v>
      </c>
      <c r="R86" s="14"/>
      <c r="S86" s="52"/>
    </row>
    <row r="87" spans="1:19" s="53" customFormat="1" ht="24" x14ac:dyDescent="0.25">
      <c r="A87" s="51"/>
      <c r="B87" s="17">
        <f t="shared" si="0"/>
        <v>80</v>
      </c>
      <c r="C87" s="23" t="s">
        <v>27</v>
      </c>
      <c r="D87" s="20" t="s">
        <v>117</v>
      </c>
      <c r="E87" s="20" t="s">
        <v>292</v>
      </c>
      <c r="F87" s="20" t="s">
        <v>429</v>
      </c>
      <c r="G87" s="20" t="s">
        <v>520</v>
      </c>
      <c r="H87" s="20" t="s">
        <v>645</v>
      </c>
      <c r="I87" s="14" t="s">
        <v>919</v>
      </c>
      <c r="J87" s="20" t="s">
        <v>744</v>
      </c>
      <c r="K87" s="20" t="s">
        <v>919</v>
      </c>
      <c r="L87" s="20">
        <v>1</v>
      </c>
      <c r="M87" s="20">
        <f t="shared" ref="M87" si="77">L87*5</f>
        <v>5</v>
      </c>
      <c r="N87" s="20">
        <v>20</v>
      </c>
      <c r="O87" s="45" t="s">
        <v>921</v>
      </c>
      <c r="P87" s="15">
        <v>2.12E-2</v>
      </c>
      <c r="Q87" s="21">
        <f t="shared" ref="Q87" si="78">P87*N87</f>
        <v>0.42399999999999999</v>
      </c>
      <c r="R87" s="20"/>
      <c r="S87" s="20"/>
    </row>
    <row r="88" spans="1:19" s="53" customFormat="1" ht="24" x14ac:dyDescent="0.25">
      <c r="A88" s="51"/>
      <c r="B88" s="16">
        <f>ROW(B88) - ROW($B$7)</f>
        <v>81</v>
      </c>
      <c r="C88" s="22" t="s">
        <v>27</v>
      </c>
      <c r="D88" s="14" t="s">
        <v>118</v>
      </c>
      <c r="E88" s="14" t="s">
        <v>293</v>
      </c>
      <c r="F88" s="14" t="s">
        <v>429</v>
      </c>
      <c r="G88" s="14" t="s">
        <v>521</v>
      </c>
      <c r="H88" s="14" t="s">
        <v>645</v>
      </c>
      <c r="I88" s="14" t="s">
        <v>919</v>
      </c>
      <c r="J88" s="14" t="s">
        <v>745</v>
      </c>
      <c r="K88" s="20" t="s">
        <v>919</v>
      </c>
      <c r="L88" s="14">
        <v>3</v>
      </c>
      <c r="M88" s="14">
        <f>L88*5</f>
        <v>15</v>
      </c>
      <c r="N88" s="14">
        <v>20</v>
      </c>
      <c r="O88" s="45" t="s">
        <v>921</v>
      </c>
      <c r="P88" s="15">
        <v>2.18E-2</v>
      </c>
      <c r="Q88" s="15">
        <f>P88*N88</f>
        <v>0.436</v>
      </c>
      <c r="R88" s="14"/>
      <c r="S88" s="52"/>
    </row>
    <row r="89" spans="1:19" s="53" customFormat="1" ht="24" x14ac:dyDescent="0.25">
      <c r="A89" s="51"/>
      <c r="B89" s="17">
        <f t="shared" si="0"/>
        <v>82</v>
      </c>
      <c r="C89" s="23" t="s">
        <v>27</v>
      </c>
      <c r="D89" s="20" t="s">
        <v>119</v>
      </c>
      <c r="E89" s="20" t="s">
        <v>294</v>
      </c>
      <c r="F89" s="20" t="s">
        <v>429</v>
      </c>
      <c r="G89" s="20" t="s">
        <v>522</v>
      </c>
      <c r="H89" s="20" t="s">
        <v>645</v>
      </c>
      <c r="I89" s="14" t="s">
        <v>919</v>
      </c>
      <c r="J89" s="20" t="s">
        <v>746</v>
      </c>
      <c r="K89" s="20" t="s">
        <v>919</v>
      </c>
      <c r="L89" s="20">
        <v>3</v>
      </c>
      <c r="M89" s="20">
        <f t="shared" ref="M89" si="79">L89*5</f>
        <v>15</v>
      </c>
      <c r="N89" s="20">
        <v>20</v>
      </c>
      <c r="O89" s="45" t="s">
        <v>921</v>
      </c>
      <c r="P89" s="15">
        <v>2.1399999999999999E-2</v>
      </c>
      <c r="Q89" s="21">
        <f t="shared" ref="Q89" si="80">P89*N89</f>
        <v>0.42799999999999999</v>
      </c>
      <c r="R89" s="20"/>
      <c r="S89" s="20"/>
    </row>
    <row r="90" spans="1:19" s="53" customFormat="1" ht="48" x14ac:dyDescent="0.25">
      <c r="A90" s="51"/>
      <c r="B90" s="16">
        <f>ROW(B90) - ROW($B$7)</f>
        <v>83</v>
      </c>
      <c r="C90" s="22" t="s">
        <v>27</v>
      </c>
      <c r="D90" s="14" t="s">
        <v>120</v>
      </c>
      <c r="E90" s="14" t="s">
        <v>295</v>
      </c>
      <c r="F90" s="14" t="s">
        <v>429</v>
      </c>
      <c r="G90" s="14" t="s">
        <v>523</v>
      </c>
      <c r="H90" s="14" t="s">
        <v>646</v>
      </c>
      <c r="I90" s="14" t="s">
        <v>919</v>
      </c>
      <c r="J90" s="14" t="s">
        <v>747</v>
      </c>
      <c r="K90" s="20" t="s">
        <v>919</v>
      </c>
      <c r="L90" s="14">
        <v>2</v>
      </c>
      <c r="M90" s="14">
        <f>L90*5</f>
        <v>10</v>
      </c>
      <c r="N90" s="14">
        <v>20</v>
      </c>
      <c r="O90" s="45" t="s">
        <v>921</v>
      </c>
      <c r="P90" s="15">
        <v>2.1299999999999999E-2</v>
      </c>
      <c r="Q90" s="15">
        <f>P90*N90</f>
        <v>0.42599999999999999</v>
      </c>
      <c r="R90" s="14"/>
      <c r="S90" s="52"/>
    </row>
    <row r="91" spans="1:19" s="53" customFormat="1" ht="24" x14ac:dyDescent="0.25">
      <c r="A91" s="51"/>
      <c r="B91" s="17">
        <f t="shared" si="0"/>
        <v>84</v>
      </c>
      <c r="C91" s="23" t="s">
        <v>27</v>
      </c>
      <c r="D91" s="20" t="s">
        <v>121</v>
      </c>
      <c r="E91" s="20" t="s">
        <v>296</v>
      </c>
      <c r="F91" s="20" t="s">
        <v>429</v>
      </c>
      <c r="G91" s="20" t="s">
        <v>524</v>
      </c>
      <c r="H91" s="20" t="s">
        <v>645</v>
      </c>
      <c r="I91" s="14" t="s">
        <v>919</v>
      </c>
      <c r="J91" s="20" t="s">
        <v>748</v>
      </c>
      <c r="K91" s="20" t="s">
        <v>919</v>
      </c>
      <c r="L91" s="20">
        <v>2</v>
      </c>
      <c r="M91" s="20">
        <f t="shared" ref="M91" si="81">L91*5</f>
        <v>10</v>
      </c>
      <c r="N91" s="20">
        <v>20</v>
      </c>
      <c r="O91" s="45" t="s">
        <v>921</v>
      </c>
      <c r="P91" s="15">
        <v>3.04E-2</v>
      </c>
      <c r="Q91" s="21">
        <f t="shared" ref="Q91" si="82">P91*N91</f>
        <v>0.60799999999999998</v>
      </c>
      <c r="R91" s="20"/>
      <c r="S91" s="20"/>
    </row>
    <row r="92" spans="1:19" s="53" customFormat="1" ht="24" x14ac:dyDescent="0.25">
      <c r="A92" s="51"/>
      <c r="B92" s="16">
        <f>ROW(B92) - ROW($B$7)</f>
        <v>85</v>
      </c>
      <c r="C92" s="22" t="s">
        <v>28</v>
      </c>
      <c r="D92" s="14" t="s">
        <v>122</v>
      </c>
      <c r="E92" s="14" t="s">
        <v>297</v>
      </c>
      <c r="F92" s="14" t="s">
        <v>404</v>
      </c>
      <c r="G92" s="14" t="s">
        <v>525</v>
      </c>
      <c r="H92" s="14" t="s">
        <v>647</v>
      </c>
      <c r="I92" s="14" t="s">
        <v>919</v>
      </c>
      <c r="J92" s="14" t="s">
        <v>749</v>
      </c>
      <c r="K92" s="20" t="s">
        <v>919</v>
      </c>
      <c r="L92" s="14">
        <v>2</v>
      </c>
      <c r="M92" s="14">
        <f>L92*5</f>
        <v>10</v>
      </c>
      <c r="N92" s="14">
        <v>50</v>
      </c>
      <c r="O92" s="45" t="s">
        <v>921</v>
      </c>
      <c r="P92" s="15">
        <v>1.3599999999999999E-2</v>
      </c>
      <c r="Q92" s="15">
        <f>P92*N92</f>
        <v>0.67999999999999994</v>
      </c>
      <c r="R92" s="14"/>
      <c r="S92" s="52"/>
    </row>
    <row r="93" spans="1:19" s="53" customFormat="1" ht="24" x14ac:dyDescent="0.25">
      <c r="A93" s="51"/>
      <c r="B93" s="17">
        <f t="shared" si="0"/>
        <v>86</v>
      </c>
      <c r="C93" s="23" t="s">
        <v>29</v>
      </c>
      <c r="D93" s="20" t="s">
        <v>123</v>
      </c>
      <c r="E93" s="20" t="s">
        <v>298</v>
      </c>
      <c r="F93" s="20" t="s">
        <v>404</v>
      </c>
      <c r="G93" s="20" t="s">
        <v>526</v>
      </c>
      <c r="H93" s="20" t="s">
        <v>648</v>
      </c>
      <c r="I93" s="14" t="s">
        <v>919</v>
      </c>
      <c r="J93" s="20" t="s">
        <v>750</v>
      </c>
      <c r="K93" s="20" t="s">
        <v>919</v>
      </c>
      <c r="L93" s="20">
        <v>4</v>
      </c>
      <c r="M93" s="20">
        <f t="shared" ref="M93" si="83">L93*5</f>
        <v>20</v>
      </c>
      <c r="N93" s="20">
        <v>50</v>
      </c>
      <c r="O93" s="45" t="s">
        <v>921</v>
      </c>
      <c r="P93" s="15">
        <v>1.01E-2</v>
      </c>
      <c r="Q93" s="21">
        <f t="shared" ref="Q93" si="84">P93*N93</f>
        <v>0.505</v>
      </c>
      <c r="R93" s="20"/>
      <c r="S93" s="20"/>
    </row>
    <row r="94" spans="1:19" s="53" customFormat="1" ht="24" x14ac:dyDescent="0.25">
      <c r="A94" s="51"/>
      <c r="B94" s="16">
        <f>ROW(B94) - ROW($B$7)</f>
        <v>87</v>
      </c>
      <c r="C94" s="22" t="s">
        <v>30</v>
      </c>
      <c r="D94" s="14" t="s">
        <v>124</v>
      </c>
      <c r="E94" s="14" t="s">
        <v>299</v>
      </c>
      <c r="F94" s="14" t="s">
        <v>430</v>
      </c>
      <c r="G94" s="14" t="s">
        <v>527</v>
      </c>
      <c r="H94" s="14" t="s">
        <v>617</v>
      </c>
      <c r="I94" s="14" t="s">
        <v>919</v>
      </c>
      <c r="J94" s="14" t="s">
        <v>751</v>
      </c>
      <c r="K94" s="14" t="s">
        <v>863</v>
      </c>
      <c r="L94" s="14">
        <v>12</v>
      </c>
      <c r="M94" s="14">
        <f>L94*5</f>
        <v>60</v>
      </c>
      <c r="N94" s="14">
        <v>100</v>
      </c>
      <c r="O94" s="45" t="s">
        <v>921</v>
      </c>
      <c r="P94" s="15">
        <v>6.9999999999999999E-4</v>
      </c>
      <c r="Q94" s="15">
        <f>P94*N94</f>
        <v>6.9999999999999993E-2</v>
      </c>
      <c r="R94" s="14"/>
      <c r="S94" s="52"/>
    </row>
    <row r="95" spans="1:19" s="53" customFormat="1" x14ac:dyDescent="0.25">
      <c r="A95" s="51"/>
      <c r="B95" s="17">
        <f t="shared" si="0"/>
        <v>88</v>
      </c>
      <c r="C95" s="23" t="s">
        <v>30</v>
      </c>
      <c r="D95" s="42" t="s">
        <v>125</v>
      </c>
      <c r="E95" s="42" t="s">
        <v>300</v>
      </c>
      <c r="F95" s="42" t="s">
        <v>431</v>
      </c>
      <c r="G95" s="42" t="s">
        <v>528</v>
      </c>
      <c r="H95" s="42" t="s">
        <v>617</v>
      </c>
      <c r="I95" s="42" t="s">
        <v>919</v>
      </c>
      <c r="J95" s="42" t="s">
        <v>752</v>
      </c>
      <c r="K95" s="42" t="s">
        <v>849</v>
      </c>
      <c r="L95" s="42">
        <v>1</v>
      </c>
      <c r="M95" s="42">
        <f t="shared" ref="M95" si="85">L95*5</f>
        <v>5</v>
      </c>
      <c r="N95" s="42" t="s">
        <v>919</v>
      </c>
      <c r="O95" s="42" t="s">
        <v>919</v>
      </c>
      <c r="P95" s="46" t="s">
        <v>919</v>
      </c>
      <c r="Q95" s="47" t="s">
        <v>919</v>
      </c>
      <c r="R95" s="42" t="s">
        <v>919</v>
      </c>
      <c r="S95" s="43" t="s">
        <v>920</v>
      </c>
    </row>
    <row r="96" spans="1:19" s="53" customFormat="1" x14ac:dyDescent="0.25">
      <c r="A96" s="51"/>
      <c r="B96" s="16">
        <f>ROW(B96) - ROW($B$7)</f>
        <v>89</v>
      </c>
      <c r="C96" s="23" t="s">
        <v>30</v>
      </c>
      <c r="D96" s="14" t="s">
        <v>126</v>
      </c>
      <c r="E96" s="14" t="s">
        <v>301</v>
      </c>
      <c r="F96" s="14" t="s">
        <v>432</v>
      </c>
      <c r="G96" s="14" t="s">
        <v>529</v>
      </c>
      <c r="H96" s="14" t="s">
        <v>617</v>
      </c>
      <c r="I96" s="14" t="s">
        <v>919</v>
      </c>
      <c r="J96" s="14" t="s">
        <v>753</v>
      </c>
      <c r="K96" s="14" t="s">
        <v>864</v>
      </c>
      <c r="L96" s="14">
        <v>1</v>
      </c>
      <c r="M96" s="14">
        <f>L96*5</f>
        <v>5</v>
      </c>
      <c r="N96" s="14">
        <v>20</v>
      </c>
      <c r="O96" s="45" t="s">
        <v>921</v>
      </c>
      <c r="P96" s="15">
        <v>2.0400000000000001E-2</v>
      </c>
      <c r="Q96" s="15">
        <f>P96*N96</f>
        <v>0.40800000000000003</v>
      </c>
      <c r="R96" s="14"/>
      <c r="S96" s="52"/>
    </row>
    <row r="97" spans="1:19" s="53" customFormat="1" ht="96" x14ac:dyDescent="0.25">
      <c r="A97" s="51"/>
      <c r="B97" s="17">
        <f t="shared" si="0"/>
        <v>90</v>
      </c>
      <c r="C97" s="23" t="s">
        <v>30</v>
      </c>
      <c r="D97" s="20" t="s">
        <v>127</v>
      </c>
      <c r="E97" s="20" t="s">
        <v>302</v>
      </c>
      <c r="F97" s="20" t="s">
        <v>430</v>
      </c>
      <c r="G97" s="20" t="s">
        <v>530</v>
      </c>
      <c r="H97" s="20" t="s">
        <v>617</v>
      </c>
      <c r="I97" s="14" t="s">
        <v>919</v>
      </c>
      <c r="J97" s="20" t="s">
        <v>754</v>
      </c>
      <c r="K97" s="20" t="s">
        <v>865</v>
      </c>
      <c r="L97" s="20">
        <v>61</v>
      </c>
      <c r="M97" s="20">
        <f t="shared" ref="M97" si="86">L97*5</f>
        <v>305</v>
      </c>
      <c r="N97" s="20">
        <v>400</v>
      </c>
      <c r="O97" s="45" t="s">
        <v>921</v>
      </c>
      <c r="P97" s="15">
        <v>5.0000000000000001E-4</v>
      </c>
      <c r="Q97" s="21">
        <f t="shared" ref="Q97" si="87">P97*N97</f>
        <v>0.2</v>
      </c>
      <c r="R97" s="20"/>
      <c r="S97" s="20"/>
    </row>
    <row r="98" spans="1:19" s="53" customFormat="1" ht="24" x14ac:dyDescent="0.25">
      <c r="A98" s="51"/>
      <c r="B98" s="16">
        <f>ROW(B98) - ROW($B$7)</f>
        <v>91</v>
      </c>
      <c r="C98" s="22" t="s">
        <v>30</v>
      </c>
      <c r="D98" s="14" t="s">
        <v>128</v>
      </c>
      <c r="E98" s="14" t="s">
        <v>303</v>
      </c>
      <c r="F98" s="14" t="s">
        <v>430</v>
      </c>
      <c r="G98" s="14" t="s">
        <v>531</v>
      </c>
      <c r="H98" s="14" t="s">
        <v>617</v>
      </c>
      <c r="I98" s="14" t="s">
        <v>919</v>
      </c>
      <c r="J98" s="14" t="s">
        <v>755</v>
      </c>
      <c r="K98" s="14" t="s">
        <v>866</v>
      </c>
      <c r="L98" s="14">
        <v>9</v>
      </c>
      <c r="M98" s="14">
        <f>L98*5</f>
        <v>45</v>
      </c>
      <c r="N98" s="14">
        <v>100</v>
      </c>
      <c r="O98" s="45" t="s">
        <v>921</v>
      </c>
      <c r="P98" s="15">
        <v>5.0000000000000001E-4</v>
      </c>
      <c r="Q98" s="15">
        <f>P98*N98</f>
        <v>0.05</v>
      </c>
      <c r="R98" s="14"/>
      <c r="S98" s="52"/>
    </row>
    <row r="99" spans="1:19" s="53" customFormat="1" x14ac:dyDescent="0.25">
      <c r="A99" s="51"/>
      <c r="B99" s="17">
        <f t="shared" si="0"/>
        <v>92</v>
      </c>
      <c r="C99" s="23" t="s">
        <v>30</v>
      </c>
      <c r="D99" s="20" t="s">
        <v>129</v>
      </c>
      <c r="E99" s="20" t="s">
        <v>304</v>
      </c>
      <c r="F99" s="20" t="s">
        <v>430</v>
      </c>
      <c r="G99" s="20" t="s">
        <v>532</v>
      </c>
      <c r="H99" s="20" t="s">
        <v>617</v>
      </c>
      <c r="I99" s="14" t="s">
        <v>919</v>
      </c>
      <c r="J99" s="20" t="s">
        <v>756</v>
      </c>
      <c r="K99" s="20" t="s">
        <v>867</v>
      </c>
      <c r="L99" s="20">
        <v>2</v>
      </c>
      <c r="M99" s="20">
        <f t="shared" ref="M99" si="88">L99*5</f>
        <v>10</v>
      </c>
      <c r="N99" s="20">
        <v>20</v>
      </c>
      <c r="O99" s="45" t="s">
        <v>921</v>
      </c>
      <c r="P99" s="15">
        <v>2.1600000000000001E-2</v>
      </c>
      <c r="Q99" s="21">
        <f t="shared" ref="Q99" si="89">P99*N99</f>
        <v>0.43200000000000005</v>
      </c>
      <c r="R99" s="20"/>
      <c r="S99" s="20"/>
    </row>
    <row r="100" spans="1:19" s="53" customFormat="1" x14ac:dyDescent="0.25">
      <c r="A100" s="51"/>
      <c r="B100" s="16">
        <f>ROW(B100) - ROW($B$7)</f>
        <v>93</v>
      </c>
      <c r="C100" s="22" t="s">
        <v>30</v>
      </c>
      <c r="D100" s="14" t="s">
        <v>130</v>
      </c>
      <c r="E100" s="14" t="s">
        <v>305</v>
      </c>
      <c r="F100" s="14" t="s">
        <v>430</v>
      </c>
      <c r="G100" s="14" t="s">
        <v>533</v>
      </c>
      <c r="H100" s="14" t="s">
        <v>617</v>
      </c>
      <c r="I100" s="14" t="s">
        <v>919</v>
      </c>
      <c r="J100" s="14" t="s">
        <v>757</v>
      </c>
      <c r="K100" s="14" t="s">
        <v>868</v>
      </c>
      <c r="L100" s="14">
        <v>2</v>
      </c>
      <c r="M100" s="14">
        <f>L100*5</f>
        <v>10</v>
      </c>
      <c r="N100" s="14">
        <v>20</v>
      </c>
      <c r="O100" s="45" t="s">
        <v>921</v>
      </c>
      <c r="P100" s="15">
        <v>0.02</v>
      </c>
      <c r="Q100" s="15">
        <f>P100*N100</f>
        <v>0.4</v>
      </c>
      <c r="R100" s="14"/>
      <c r="S100" s="52"/>
    </row>
    <row r="101" spans="1:19" s="53" customFormat="1" x14ac:dyDescent="0.25">
      <c r="A101" s="51"/>
      <c r="B101" s="17">
        <f t="shared" si="0"/>
        <v>94</v>
      </c>
      <c r="C101" s="23" t="s">
        <v>30</v>
      </c>
      <c r="D101" s="20" t="s">
        <v>131</v>
      </c>
      <c r="E101" s="20" t="s">
        <v>306</v>
      </c>
      <c r="F101" s="20" t="s">
        <v>430</v>
      </c>
      <c r="G101" s="20" t="s">
        <v>534</v>
      </c>
      <c r="H101" s="20" t="s">
        <v>617</v>
      </c>
      <c r="I101" s="14" t="s">
        <v>919</v>
      </c>
      <c r="J101" s="20" t="s">
        <v>758</v>
      </c>
      <c r="K101" s="20" t="s">
        <v>869</v>
      </c>
      <c r="L101" s="20">
        <v>1</v>
      </c>
      <c r="M101" s="20">
        <f t="shared" ref="M101" si="90">L101*5</f>
        <v>5</v>
      </c>
      <c r="N101" s="20">
        <v>100</v>
      </c>
      <c r="O101" s="45" t="s">
        <v>921</v>
      </c>
      <c r="P101" s="15">
        <v>5.9999999999999995E-4</v>
      </c>
      <c r="Q101" s="21">
        <f t="shared" ref="Q101" si="91">P101*N101</f>
        <v>0.06</v>
      </c>
      <c r="R101" s="20"/>
      <c r="S101" s="20"/>
    </row>
    <row r="102" spans="1:19" s="53" customFormat="1" x14ac:dyDescent="0.25">
      <c r="A102" s="51"/>
      <c r="B102" s="16">
        <f>ROW(B102) - ROW($B$7)</f>
        <v>95</v>
      </c>
      <c r="C102" s="22" t="s">
        <v>30</v>
      </c>
      <c r="D102" s="14" t="s">
        <v>132</v>
      </c>
      <c r="E102" s="14" t="s">
        <v>307</v>
      </c>
      <c r="F102" s="14" t="s">
        <v>430</v>
      </c>
      <c r="G102" s="14" t="s">
        <v>535</v>
      </c>
      <c r="H102" s="14" t="s">
        <v>617</v>
      </c>
      <c r="I102" s="14" t="s">
        <v>919</v>
      </c>
      <c r="J102" s="14" t="s">
        <v>759</v>
      </c>
      <c r="K102" s="14" t="s">
        <v>870</v>
      </c>
      <c r="L102" s="14">
        <v>1</v>
      </c>
      <c r="M102" s="14">
        <f>L102*5</f>
        <v>5</v>
      </c>
      <c r="N102" s="14">
        <v>20</v>
      </c>
      <c r="O102" s="45" t="s">
        <v>921</v>
      </c>
      <c r="P102" s="15">
        <v>2.18E-2</v>
      </c>
      <c r="Q102" s="15">
        <f>P102*N102</f>
        <v>0.436</v>
      </c>
      <c r="R102" s="14"/>
      <c r="S102" s="52"/>
    </row>
    <row r="103" spans="1:19" s="53" customFormat="1" x14ac:dyDescent="0.25">
      <c r="A103" s="51"/>
      <c r="B103" s="17">
        <f t="shared" si="0"/>
        <v>96</v>
      </c>
      <c r="C103" s="23" t="s">
        <v>30</v>
      </c>
      <c r="D103" s="20" t="s">
        <v>133</v>
      </c>
      <c r="E103" s="20" t="s">
        <v>308</v>
      </c>
      <c r="F103" s="20" t="s">
        <v>430</v>
      </c>
      <c r="G103" s="20" t="s">
        <v>536</v>
      </c>
      <c r="H103" s="20" t="s">
        <v>617</v>
      </c>
      <c r="I103" s="14" t="s">
        <v>919</v>
      </c>
      <c r="J103" s="20" t="s">
        <v>760</v>
      </c>
      <c r="K103" s="20" t="s">
        <v>865</v>
      </c>
      <c r="L103" s="20">
        <v>1</v>
      </c>
      <c r="M103" s="20">
        <f t="shared" ref="M103" si="92">L103*5</f>
        <v>5</v>
      </c>
      <c r="N103" s="20">
        <v>50</v>
      </c>
      <c r="O103" s="45" t="s">
        <v>921</v>
      </c>
      <c r="P103" s="15">
        <v>1.78E-2</v>
      </c>
      <c r="Q103" s="21">
        <f t="shared" ref="Q103" si="93">P103*N103</f>
        <v>0.89</v>
      </c>
      <c r="R103" s="20"/>
      <c r="S103" s="20"/>
    </row>
    <row r="104" spans="1:19" s="53" customFormat="1" x14ac:dyDescent="0.25">
      <c r="A104" s="51"/>
      <c r="B104" s="16">
        <f>ROW(B104) - ROW($B$7)</f>
        <v>97</v>
      </c>
      <c r="C104" s="22" t="s">
        <v>30</v>
      </c>
      <c r="D104" s="14" t="s">
        <v>134</v>
      </c>
      <c r="E104" s="14" t="s">
        <v>309</v>
      </c>
      <c r="F104" s="14" t="s">
        <v>433</v>
      </c>
      <c r="G104" s="14" t="s">
        <v>537</v>
      </c>
      <c r="H104" s="14" t="s">
        <v>617</v>
      </c>
      <c r="I104" s="14" t="s">
        <v>919</v>
      </c>
      <c r="J104" s="14" t="s">
        <v>761</v>
      </c>
      <c r="K104" s="14" t="s">
        <v>871</v>
      </c>
      <c r="L104" s="14">
        <v>2</v>
      </c>
      <c r="M104" s="14">
        <f>L104*5</f>
        <v>10</v>
      </c>
      <c r="N104" s="14">
        <v>100</v>
      </c>
      <c r="O104" s="45" t="s">
        <v>921</v>
      </c>
      <c r="P104" s="15">
        <v>1E-3</v>
      </c>
      <c r="Q104" s="15">
        <f>P104*N104</f>
        <v>0.1</v>
      </c>
      <c r="R104" s="14"/>
      <c r="S104" s="52"/>
    </row>
    <row r="105" spans="1:19" s="53" customFormat="1" ht="24" x14ac:dyDescent="0.25">
      <c r="A105" s="51"/>
      <c r="B105" s="17">
        <f t="shared" si="0"/>
        <v>98</v>
      </c>
      <c r="C105" s="23" t="s">
        <v>30</v>
      </c>
      <c r="D105" s="20" t="s">
        <v>135</v>
      </c>
      <c r="E105" s="20" t="s">
        <v>310</v>
      </c>
      <c r="F105" s="20" t="s">
        <v>430</v>
      </c>
      <c r="G105" s="20" t="s">
        <v>538</v>
      </c>
      <c r="H105" s="20" t="s">
        <v>617</v>
      </c>
      <c r="I105" s="14" t="s">
        <v>919</v>
      </c>
      <c r="J105" s="20" t="s">
        <v>762</v>
      </c>
      <c r="K105" s="20" t="s">
        <v>872</v>
      </c>
      <c r="L105" s="20">
        <v>10</v>
      </c>
      <c r="M105" s="20">
        <f t="shared" ref="M105" si="94">L105*5</f>
        <v>50</v>
      </c>
      <c r="N105" s="20">
        <v>100</v>
      </c>
      <c r="O105" s="45" t="s">
        <v>921</v>
      </c>
      <c r="P105" s="15">
        <v>5.9999999999999995E-4</v>
      </c>
      <c r="Q105" s="21">
        <f t="shared" ref="Q105" si="95">P105*N105</f>
        <v>0.06</v>
      </c>
      <c r="R105" s="20"/>
      <c r="S105" s="20"/>
    </row>
    <row r="106" spans="1:19" s="53" customFormat="1" x14ac:dyDescent="0.25">
      <c r="A106" s="51"/>
      <c r="B106" s="16">
        <f>ROW(B106) - ROW($B$7)</f>
        <v>99</v>
      </c>
      <c r="C106" s="22" t="s">
        <v>30</v>
      </c>
      <c r="D106" s="14" t="s">
        <v>136</v>
      </c>
      <c r="E106" s="14" t="s">
        <v>311</v>
      </c>
      <c r="F106" s="14" t="s">
        <v>430</v>
      </c>
      <c r="G106" s="14" t="s">
        <v>539</v>
      </c>
      <c r="H106" s="14" t="s">
        <v>617</v>
      </c>
      <c r="I106" s="14" t="s">
        <v>919</v>
      </c>
      <c r="J106" s="14" t="s">
        <v>763</v>
      </c>
      <c r="K106" s="14" t="s">
        <v>873</v>
      </c>
      <c r="L106" s="14">
        <v>1</v>
      </c>
      <c r="M106" s="14">
        <f>L106*5</f>
        <v>5</v>
      </c>
      <c r="N106" s="14">
        <v>100</v>
      </c>
      <c r="O106" s="45" t="s">
        <v>921</v>
      </c>
      <c r="P106" s="15">
        <v>5.9999999999999995E-4</v>
      </c>
      <c r="Q106" s="15">
        <f>P106*N106</f>
        <v>0.06</v>
      </c>
      <c r="R106" s="14"/>
      <c r="S106" s="52"/>
    </row>
    <row r="107" spans="1:19" s="53" customFormat="1" x14ac:dyDescent="0.25">
      <c r="A107" s="51"/>
      <c r="B107" s="17">
        <f t="shared" si="0"/>
        <v>100</v>
      </c>
      <c r="C107" s="23" t="s">
        <v>30</v>
      </c>
      <c r="D107" s="20" t="s">
        <v>137</v>
      </c>
      <c r="E107" s="20" t="s">
        <v>312</v>
      </c>
      <c r="F107" s="20" t="s">
        <v>430</v>
      </c>
      <c r="G107" s="20" t="s">
        <v>540</v>
      </c>
      <c r="H107" s="20" t="s">
        <v>617</v>
      </c>
      <c r="I107" s="14" t="s">
        <v>919</v>
      </c>
      <c r="J107" s="20" t="s">
        <v>764</v>
      </c>
      <c r="K107" s="20" t="s">
        <v>874</v>
      </c>
      <c r="L107" s="20">
        <v>1</v>
      </c>
      <c r="M107" s="20">
        <f t="shared" ref="M107" si="96">L107*5</f>
        <v>5</v>
      </c>
      <c r="N107" s="20">
        <v>100</v>
      </c>
      <c r="O107" s="45" t="s">
        <v>921</v>
      </c>
      <c r="P107" s="15">
        <v>5.9999999999999995E-4</v>
      </c>
      <c r="Q107" s="21">
        <f t="shared" ref="Q107" si="97">P107*N107</f>
        <v>0.06</v>
      </c>
      <c r="R107" s="20"/>
      <c r="S107" s="20"/>
    </row>
    <row r="108" spans="1:19" s="53" customFormat="1" ht="48" x14ac:dyDescent="0.25">
      <c r="A108" s="51"/>
      <c r="B108" s="16">
        <f>ROW(B108) - ROW($B$7)</f>
        <v>101</v>
      </c>
      <c r="C108" s="22" t="s">
        <v>30</v>
      </c>
      <c r="D108" s="14" t="s">
        <v>138</v>
      </c>
      <c r="E108" s="14" t="s">
        <v>313</v>
      </c>
      <c r="F108" s="14" t="s">
        <v>430</v>
      </c>
      <c r="G108" s="14" t="s">
        <v>541</v>
      </c>
      <c r="H108" s="14" t="s">
        <v>617</v>
      </c>
      <c r="I108" s="14" t="s">
        <v>919</v>
      </c>
      <c r="J108" s="14" t="s">
        <v>765</v>
      </c>
      <c r="K108" s="14" t="s">
        <v>875</v>
      </c>
      <c r="L108" s="14">
        <v>26</v>
      </c>
      <c r="M108" s="14">
        <f>L108*5</f>
        <v>130</v>
      </c>
      <c r="N108" s="14">
        <v>200</v>
      </c>
      <c r="O108" s="45" t="s">
        <v>921</v>
      </c>
      <c r="P108" s="15">
        <v>5.9999999999999995E-4</v>
      </c>
      <c r="Q108" s="15">
        <f>P108*N108</f>
        <v>0.12</v>
      </c>
      <c r="R108" s="14"/>
      <c r="S108" s="52"/>
    </row>
    <row r="109" spans="1:19" s="53" customFormat="1" x14ac:dyDescent="0.25">
      <c r="A109" s="51"/>
      <c r="B109" s="17">
        <f t="shared" si="0"/>
        <v>102</v>
      </c>
      <c r="C109" s="23" t="s">
        <v>30</v>
      </c>
      <c r="D109" s="20" t="s">
        <v>139</v>
      </c>
      <c r="E109" s="20" t="s">
        <v>314</v>
      </c>
      <c r="F109" s="20" t="s">
        <v>430</v>
      </c>
      <c r="G109" s="20" t="s">
        <v>542</v>
      </c>
      <c r="H109" s="20" t="s">
        <v>617</v>
      </c>
      <c r="I109" s="14" t="s">
        <v>919</v>
      </c>
      <c r="J109" s="20" t="s">
        <v>766</v>
      </c>
      <c r="K109" s="20" t="s">
        <v>876</v>
      </c>
      <c r="L109" s="20">
        <v>1</v>
      </c>
      <c r="M109" s="20">
        <f t="shared" ref="M109" si="98">L109*5</f>
        <v>5</v>
      </c>
      <c r="N109" s="20">
        <v>10</v>
      </c>
      <c r="O109" s="45" t="s">
        <v>921</v>
      </c>
      <c r="P109" s="15">
        <v>4.8599999999999997E-2</v>
      </c>
      <c r="Q109" s="21">
        <f t="shared" ref="Q109" si="99">P109*N109</f>
        <v>0.48599999999999999</v>
      </c>
      <c r="R109" s="20"/>
      <c r="S109" s="20"/>
    </row>
    <row r="110" spans="1:19" s="53" customFormat="1" x14ac:dyDescent="0.25">
      <c r="A110" s="51"/>
      <c r="B110" s="16">
        <f>ROW(B110) - ROW($B$7)</f>
        <v>103</v>
      </c>
      <c r="C110" s="22" t="s">
        <v>30</v>
      </c>
      <c r="D110" s="14" t="s">
        <v>140</v>
      </c>
      <c r="E110" s="14" t="s">
        <v>315</v>
      </c>
      <c r="F110" s="14" t="s">
        <v>430</v>
      </c>
      <c r="G110" s="14" t="s">
        <v>543</v>
      </c>
      <c r="H110" s="14" t="s">
        <v>617</v>
      </c>
      <c r="I110" s="14" t="s">
        <v>919</v>
      </c>
      <c r="J110" s="14" t="s">
        <v>767</v>
      </c>
      <c r="K110" s="14" t="s">
        <v>877</v>
      </c>
      <c r="L110" s="14">
        <v>1</v>
      </c>
      <c r="M110" s="14">
        <f>L110*5</f>
        <v>5</v>
      </c>
      <c r="N110" s="14">
        <v>20</v>
      </c>
      <c r="O110" s="45" t="s">
        <v>921</v>
      </c>
      <c r="P110" s="15">
        <v>1.83E-2</v>
      </c>
      <c r="Q110" s="15">
        <f>P110*N110</f>
        <v>0.36599999999999999</v>
      </c>
      <c r="R110" s="14"/>
      <c r="S110" s="52"/>
    </row>
    <row r="111" spans="1:19" s="53" customFormat="1" ht="24" x14ac:dyDescent="0.25">
      <c r="A111" s="51"/>
      <c r="B111" s="17">
        <f t="shared" si="0"/>
        <v>104</v>
      </c>
      <c r="C111" s="22" t="s">
        <v>30</v>
      </c>
      <c r="D111" s="20" t="s">
        <v>141</v>
      </c>
      <c r="E111" s="20" t="s">
        <v>316</v>
      </c>
      <c r="F111" s="20" t="s">
        <v>430</v>
      </c>
      <c r="G111" s="20" t="s">
        <v>544</v>
      </c>
      <c r="H111" s="20" t="s">
        <v>617</v>
      </c>
      <c r="I111" s="14" t="s">
        <v>919</v>
      </c>
      <c r="J111" s="20" t="s">
        <v>768</v>
      </c>
      <c r="K111" s="20" t="s">
        <v>871</v>
      </c>
      <c r="L111" s="20">
        <v>10</v>
      </c>
      <c r="M111" s="20">
        <f t="shared" ref="M111" si="100">L111*5</f>
        <v>50</v>
      </c>
      <c r="N111" s="20">
        <v>100</v>
      </c>
      <c r="O111" s="45" t="s">
        <v>921</v>
      </c>
      <c r="P111" s="15">
        <v>5.9999999999999995E-4</v>
      </c>
      <c r="Q111" s="21">
        <f t="shared" ref="Q111" si="101">P111*N111</f>
        <v>0.06</v>
      </c>
      <c r="R111" s="20"/>
      <c r="S111" s="20"/>
    </row>
    <row r="112" spans="1:19" s="53" customFormat="1" x14ac:dyDescent="0.25">
      <c r="A112" s="51"/>
      <c r="B112" s="16">
        <f>ROW(B112) - ROW($B$7)</f>
        <v>105</v>
      </c>
      <c r="C112" s="22" t="s">
        <v>30</v>
      </c>
      <c r="D112" s="14" t="s">
        <v>142</v>
      </c>
      <c r="E112" s="14" t="s">
        <v>317</v>
      </c>
      <c r="F112" s="14" t="s">
        <v>430</v>
      </c>
      <c r="G112" s="14" t="s">
        <v>545</v>
      </c>
      <c r="H112" s="14" t="s">
        <v>617</v>
      </c>
      <c r="I112" s="14" t="s">
        <v>919</v>
      </c>
      <c r="J112" s="14" t="s">
        <v>769</v>
      </c>
      <c r="K112" s="14" t="s">
        <v>876</v>
      </c>
      <c r="L112" s="14">
        <v>1</v>
      </c>
      <c r="M112" s="14">
        <f>L112*5</f>
        <v>5</v>
      </c>
      <c r="N112" s="14">
        <v>100</v>
      </c>
      <c r="O112" s="45" t="s">
        <v>921</v>
      </c>
      <c r="P112" s="15">
        <v>5.9999999999999995E-4</v>
      </c>
      <c r="Q112" s="15">
        <f>P112*N112</f>
        <v>0.06</v>
      </c>
      <c r="R112" s="14"/>
      <c r="S112" s="52"/>
    </row>
    <row r="113" spans="1:19" s="53" customFormat="1" x14ac:dyDescent="0.25">
      <c r="A113" s="51"/>
      <c r="B113" s="17">
        <f t="shared" si="0"/>
        <v>106</v>
      </c>
      <c r="C113" s="23" t="s">
        <v>30</v>
      </c>
      <c r="D113" s="20" t="s">
        <v>143</v>
      </c>
      <c r="E113" s="20" t="s">
        <v>318</v>
      </c>
      <c r="F113" s="20" t="s">
        <v>433</v>
      </c>
      <c r="G113" s="49" t="s">
        <v>546</v>
      </c>
      <c r="H113" s="20" t="s">
        <v>617</v>
      </c>
      <c r="I113" s="20" t="s">
        <v>926</v>
      </c>
      <c r="J113" s="20" t="s">
        <v>927</v>
      </c>
      <c r="K113" s="20" t="s">
        <v>871</v>
      </c>
      <c r="L113" s="20">
        <v>1</v>
      </c>
      <c r="M113" s="20">
        <f t="shared" ref="M113" si="102">L113*5</f>
        <v>5</v>
      </c>
      <c r="N113" s="20">
        <v>100</v>
      </c>
      <c r="O113" s="45" t="s">
        <v>921</v>
      </c>
      <c r="P113" s="15">
        <v>5.9999999999999995E-4</v>
      </c>
      <c r="Q113" s="21">
        <f t="shared" ref="Q113" si="103">P113*N113</f>
        <v>0.06</v>
      </c>
      <c r="R113" s="20"/>
      <c r="S113" s="20"/>
    </row>
    <row r="114" spans="1:19" s="53" customFormat="1" x14ac:dyDescent="0.25">
      <c r="A114" s="51"/>
      <c r="B114" s="16">
        <f>ROW(B114) - ROW($B$7)</f>
        <v>107</v>
      </c>
      <c r="C114" s="22" t="s">
        <v>30</v>
      </c>
      <c r="D114" s="14" t="s">
        <v>144</v>
      </c>
      <c r="E114" s="14" t="s">
        <v>319</v>
      </c>
      <c r="F114" s="14" t="s">
        <v>434</v>
      </c>
      <c r="G114" s="14" t="s">
        <v>547</v>
      </c>
      <c r="H114" s="14" t="s">
        <v>617</v>
      </c>
      <c r="I114" s="14" t="s">
        <v>919</v>
      </c>
      <c r="J114" s="14" t="s">
        <v>770</v>
      </c>
      <c r="K114" s="14" t="s">
        <v>855</v>
      </c>
      <c r="L114" s="14">
        <v>4</v>
      </c>
      <c r="M114" s="14">
        <f>L114*5</f>
        <v>20</v>
      </c>
      <c r="N114" s="14">
        <v>100</v>
      </c>
      <c r="O114" s="45" t="s">
        <v>921</v>
      </c>
      <c r="P114" s="15">
        <v>8.9999999999999998E-4</v>
      </c>
      <c r="Q114" s="15">
        <f>P114*N114</f>
        <v>0.09</v>
      </c>
      <c r="R114" s="14"/>
      <c r="S114" s="52"/>
    </row>
    <row r="115" spans="1:19" s="53" customFormat="1" x14ac:dyDescent="0.25">
      <c r="A115" s="51"/>
      <c r="B115" s="17">
        <f t="shared" si="0"/>
        <v>108</v>
      </c>
      <c r="C115" s="23" t="s">
        <v>30</v>
      </c>
      <c r="D115" s="20" t="s">
        <v>145</v>
      </c>
      <c r="E115" s="20" t="s">
        <v>320</v>
      </c>
      <c r="F115" s="20" t="s">
        <v>430</v>
      </c>
      <c r="G115" s="20" t="s">
        <v>548</v>
      </c>
      <c r="H115" s="20" t="s">
        <v>617</v>
      </c>
      <c r="I115" s="14" t="s">
        <v>919</v>
      </c>
      <c r="J115" s="20" t="s">
        <v>771</v>
      </c>
      <c r="K115" s="20" t="s">
        <v>878</v>
      </c>
      <c r="L115" s="20">
        <v>1</v>
      </c>
      <c r="M115" s="20">
        <f t="shared" ref="M115" si="104">L115*5</f>
        <v>5</v>
      </c>
      <c r="N115" s="20">
        <v>100</v>
      </c>
      <c r="O115" s="45" t="s">
        <v>921</v>
      </c>
      <c r="P115" s="15">
        <v>5.9999999999999995E-4</v>
      </c>
      <c r="Q115" s="21">
        <f t="shared" ref="Q115" si="105">P115*N115</f>
        <v>0.06</v>
      </c>
      <c r="R115" s="20"/>
      <c r="S115" s="20"/>
    </row>
    <row r="116" spans="1:19" s="53" customFormat="1" ht="24" x14ac:dyDescent="0.25">
      <c r="A116" s="51"/>
      <c r="B116" s="16">
        <f>ROW(B116) - ROW($B$7)</f>
        <v>109</v>
      </c>
      <c r="C116" s="23" t="s">
        <v>30</v>
      </c>
      <c r="D116" s="14" t="s">
        <v>146</v>
      </c>
      <c r="E116" s="14" t="s">
        <v>321</v>
      </c>
      <c r="F116" s="14" t="s">
        <v>430</v>
      </c>
      <c r="G116" s="14" t="s">
        <v>549</v>
      </c>
      <c r="H116" s="14" t="s">
        <v>617</v>
      </c>
      <c r="I116" s="14" t="s">
        <v>919</v>
      </c>
      <c r="J116" s="14" t="s">
        <v>772</v>
      </c>
      <c r="K116" s="14" t="s">
        <v>879</v>
      </c>
      <c r="L116" s="14">
        <v>10</v>
      </c>
      <c r="M116" s="14">
        <f>L116*5</f>
        <v>50</v>
      </c>
      <c r="N116" s="14">
        <v>100</v>
      </c>
      <c r="O116" s="45" t="s">
        <v>921</v>
      </c>
      <c r="P116" s="15">
        <v>5.9999999999999995E-4</v>
      </c>
      <c r="Q116" s="15">
        <f>P116*N116</f>
        <v>0.06</v>
      </c>
      <c r="R116" s="14"/>
      <c r="S116" s="52"/>
    </row>
    <row r="117" spans="1:19" s="53" customFormat="1" x14ac:dyDescent="0.25">
      <c r="A117" s="51"/>
      <c r="B117" s="17">
        <f t="shared" si="0"/>
        <v>110</v>
      </c>
      <c r="C117" s="23" t="s">
        <v>30</v>
      </c>
      <c r="D117" s="20" t="s">
        <v>147</v>
      </c>
      <c r="E117" s="20" t="s">
        <v>322</v>
      </c>
      <c r="F117" s="20" t="s">
        <v>430</v>
      </c>
      <c r="G117" s="20" t="s">
        <v>550</v>
      </c>
      <c r="H117" s="20" t="s">
        <v>617</v>
      </c>
      <c r="I117" s="14" t="s">
        <v>919</v>
      </c>
      <c r="J117" s="20" t="s">
        <v>773</v>
      </c>
      <c r="K117" s="20" t="s">
        <v>880</v>
      </c>
      <c r="L117" s="20">
        <v>2</v>
      </c>
      <c r="M117" s="20">
        <f t="shared" ref="M117" si="106">L117*5</f>
        <v>10</v>
      </c>
      <c r="N117" s="20">
        <v>100</v>
      </c>
      <c r="O117" s="45" t="s">
        <v>921</v>
      </c>
      <c r="P117" s="15">
        <v>5.9999999999999995E-4</v>
      </c>
      <c r="Q117" s="21">
        <f t="shared" ref="Q117" si="107">P117*N117</f>
        <v>0.06</v>
      </c>
      <c r="R117" s="20"/>
      <c r="S117" s="20"/>
    </row>
    <row r="118" spans="1:19" s="53" customFormat="1" x14ac:dyDescent="0.25">
      <c r="A118" s="51"/>
      <c r="B118" s="16">
        <f>ROW(B118) - ROW($B$7)</f>
        <v>111</v>
      </c>
      <c r="C118" s="22" t="s">
        <v>30</v>
      </c>
      <c r="D118" s="14" t="s">
        <v>148</v>
      </c>
      <c r="E118" s="14" t="s">
        <v>323</v>
      </c>
      <c r="F118" s="14" t="s">
        <v>434</v>
      </c>
      <c r="G118" s="14" t="s">
        <v>551</v>
      </c>
      <c r="H118" s="14" t="s">
        <v>617</v>
      </c>
      <c r="I118" s="14" t="s">
        <v>919</v>
      </c>
      <c r="J118" s="14" t="s">
        <v>774</v>
      </c>
      <c r="K118" s="14" t="s">
        <v>881</v>
      </c>
      <c r="L118" s="14">
        <v>1</v>
      </c>
      <c r="M118" s="14">
        <f>L118*5</f>
        <v>5</v>
      </c>
      <c r="N118" s="14">
        <v>100</v>
      </c>
      <c r="O118" s="45" t="s">
        <v>921</v>
      </c>
      <c r="P118" s="15">
        <v>8.9999999999999998E-4</v>
      </c>
      <c r="Q118" s="15">
        <f>P118*N118</f>
        <v>0.09</v>
      </c>
      <c r="R118" s="14"/>
      <c r="S118" s="52"/>
    </row>
    <row r="119" spans="1:19" s="53" customFormat="1" x14ac:dyDescent="0.25">
      <c r="A119" s="51"/>
      <c r="B119" s="17">
        <f t="shared" si="0"/>
        <v>112</v>
      </c>
      <c r="C119" s="23" t="s">
        <v>30</v>
      </c>
      <c r="D119" s="42" t="s">
        <v>149</v>
      </c>
      <c r="E119" s="42" t="s">
        <v>302</v>
      </c>
      <c r="F119" s="42" t="s">
        <v>430</v>
      </c>
      <c r="G119" s="42" t="s">
        <v>530</v>
      </c>
      <c r="H119" s="42" t="s">
        <v>617</v>
      </c>
      <c r="I119" s="42" t="s">
        <v>919</v>
      </c>
      <c r="J119" s="42" t="s">
        <v>754</v>
      </c>
      <c r="K119" s="42" t="s">
        <v>849</v>
      </c>
      <c r="L119" s="42">
        <v>1</v>
      </c>
      <c r="M119" s="48">
        <f>L119*5</f>
        <v>5</v>
      </c>
      <c r="N119" s="42" t="s">
        <v>919</v>
      </c>
      <c r="O119" s="42" t="s">
        <v>919</v>
      </c>
      <c r="P119" s="46" t="s">
        <v>919</v>
      </c>
      <c r="Q119" s="47" t="s">
        <v>919</v>
      </c>
      <c r="R119" s="42" t="s">
        <v>919</v>
      </c>
      <c r="S119" s="43" t="s">
        <v>920</v>
      </c>
    </row>
    <row r="120" spans="1:19" s="53" customFormat="1" ht="24" x14ac:dyDescent="0.25">
      <c r="A120" s="51"/>
      <c r="B120" s="16">
        <f>ROW(B120) - ROW($B$7)</f>
        <v>113</v>
      </c>
      <c r="C120" s="23" t="s">
        <v>30</v>
      </c>
      <c r="D120" s="14" t="s">
        <v>150</v>
      </c>
      <c r="E120" s="14" t="s">
        <v>324</v>
      </c>
      <c r="F120" s="14" t="s">
        <v>430</v>
      </c>
      <c r="G120" s="14" t="s">
        <v>552</v>
      </c>
      <c r="H120" s="14" t="s">
        <v>617</v>
      </c>
      <c r="I120" s="14" t="s">
        <v>919</v>
      </c>
      <c r="J120" s="14" t="s">
        <v>775</v>
      </c>
      <c r="K120" s="14" t="s">
        <v>882</v>
      </c>
      <c r="L120" s="14">
        <v>10</v>
      </c>
      <c r="M120" s="14">
        <f>L120*5</f>
        <v>50</v>
      </c>
      <c r="N120" s="14">
        <v>100</v>
      </c>
      <c r="O120" s="45" t="s">
        <v>921</v>
      </c>
      <c r="P120" s="15">
        <v>1.1999999999999999E-3</v>
      </c>
      <c r="Q120" s="15">
        <f>P120*N120</f>
        <v>0.12</v>
      </c>
      <c r="R120" s="14"/>
      <c r="S120" s="52"/>
    </row>
    <row r="121" spans="1:19" s="53" customFormat="1" x14ac:dyDescent="0.25">
      <c r="A121" s="51"/>
      <c r="B121" s="17">
        <f t="shared" si="0"/>
        <v>114</v>
      </c>
      <c r="C121" s="23" t="s">
        <v>30</v>
      </c>
      <c r="D121" s="20" t="s">
        <v>151</v>
      </c>
      <c r="E121" s="20" t="s">
        <v>325</v>
      </c>
      <c r="F121" s="20" t="s">
        <v>434</v>
      </c>
      <c r="G121" s="20" t="s">
        <v>553</v>
      </c>
      <c r="H121" s="20" t="s">
        <v>617</v>
      </c>
      <c r="I121" s="14" t="s">
        <v>919</v>
      </c>
      <c r="J121" s="20" t="s">
        <v>776</v>
      </c>
      <c r="K121" s="20" t="s">
        <v>883</v>
      </c>
      <c r="L121" s="20">
        <v>1</v>
      </c>
      <c r="M121" s="20">
        <f t="shared" ref="M121" si="108">L121*5</f>
        <v>5</v>
      </c>
      <c r="N121" s="20">
        <v>100</v>
      </c>
      <c r="O121" s="45" t="s">
        <v>921</v>
      </c>
      <c r="P121" s="15">
        <v>3.7000000000000002E-3</v>
      </c>
      <c r="Q121" s="21">
        <f t="shared" ref="Q121" si="109">P121*N121</f>
        <v>0.37</v>
      </c>
      <c r="R121" s="20"/>
      <c r="S121" s="20"/>
    </row>
    <row r="122" spans="1:19" s="53" customFormat="1" x14ac:dyDescent="0.25">
      <c r="A122" s="51"/>
      <c r="B122" s="16">
        <f>ROW(B122) - ROW($B$7)</f>
        <v>115</v>
      </c>
      <c r="C122" s="22" t="s">
        <v>30</v>
      </c>
      <c r="D122" s="14" t="s">
        <v>152</v>
      </c>
      <c r="E122" s="14" t="s">
        <v>326</v>
      </c>
      <c r="F122" s="14" t="s">
        <v>430</v>
      </c>
      <c r="G122" s="14" t="s">
        <v>554</v>
      </c>
      <c r="H122" s="14" t="s">
        <v>617</v>
      </c>
      <c r="I122" s="14" t="s">
        <v>919</v>
      </c>
      <c r="J122" s="14" t="s">
        <v>777</v>
      </c>
      <c r="K122" s="14" t="s">
        <v>884</v>
      </c>
      <c r="L122" s="14">
        <v>1</v>
      </c>
      <c r="M122" s="14">
        <f>L122*5</f>
        <v>5</v>
      </c>
      <c r="N122" s="14">
        <v>100</v>
      </c>
      <c r="O122" s="45" t="s">
        <v>921</v>
      </c>
      <c r="P122" s="15">
        <v>5.9999999999999995E-4</v>
      </c>
      <c r="Q122" s="15">
        <f>P122*N122</f>
        <v>0.06</v>
      </c>
      <c r="R122" s="14"/>
      <c r="S122" s="52"/>
    </row>
    <row r="123" spans="1:19" s="53" customFormat="1" x14ac:dyDescent="0.25">
      <c r="A123" s="51"/>
      <c r="B123" s="17">
        <f t="shared" si="0"/>
        <v>116</v>
      </c>
      <c r="C123" s="23" t="s">
        <v>30</v>
      </c>
      <c r="D123" s="20" t="s">
        <v>153</v>
      </c>
      <c r="E123" s="20" t="s">
        <v>327</v>
      </c>
      <c r="F123" s="20" t="s">
        <v>433</v>
      </c>
      <c r="G123" s="20" t="s">
        <v>555</v>
      </c>
      <c r="H123" s="20" t="s">
        <v>617</v>
      </c>
      <c r="I123" s="14" t="s">
        <v>919</v>
      </c>
      <c r="J123" s="20" t="s">
        <v>778</v>
      </c>
      <c r="K123" s="20" t="s">
        <v>885</v>
      </c>
      <c r="L123" s="20">
        <v>1</v>
      </c>
      <c r="M123" s="20">
        <f t="shared" ref="M123" si="110">L123*5</f>
        <v>5</v>
      </c>
      <c r="N123" s="20">
        <v>20</v>
      </c>
      <c r="O123" s="45" t="s">
        <v>921</v>
      </c>
      <c r="P123" s="15">
        <v>2.35E-2</v>
      </c>
      <c r="Q123" s="21">
        <f t="shared" ref="Q123" si="111">P123*N123</f>
        <v>0.47</v>
      </c>
      <c r="R123" s="20"/>
      <c r="S123" s="20"/>
    </row>
    <row r="124" spans="1:19" s="53" customFormat="1" x14ac:dyDescent="0.25">
      <c r="A124" s="51"/>
      <c r="B124" s="16">
        <f>ROW(B124) - ROW($B$7)</f>
        <v>117</v>
      </c>
      <c r="C124" s="22" t="s">
        <v>30</v>
      </c>
      <c r="D124" s="14" t="s">
        <v>154</v>
      </c>
      <c r="E124" s="14" t="s">
        <v>328</v>
      </c>
      <c r="F124" s="14" t="s">
        <v>430</v>
      </c>
      <c r="G124" s="14" t="s">
        <v>556</v>
      </c>
      <c r="H124" s="14" t="s">
        <v>617</v>
      </c>
      <c r="I124" s="14" t="s">
        <v>919</v>
      </c>
      <c r="J124" s="14" t="s">
        <v>779</v>
      </c>
      <c r="K124" s="14" t="s">
        <v>866</v>
      </c>
      <c r="L124" s="14">
        <v>1</v>
      </c>
      <c r="M124" s="14">
        <f>L124*5</f>
        <v>5</v>
      </c>
      <c r="N124" s="14">
        <v>50</v>
      </c>
      <c r="O124" s="45" t="s">
        <v>921</v>
      </c>
      <c r="P124" s="15">
        <v>0.02</v>
      </c>
      <c r="Q124" s="15">
        <f>P124*N124</f>
        <v>1</v>
      </c>
      <c r="R124" s="14"/>
      <c r="S124" s="52"/>
    </row>
    <row r="125" spans="1:19" s="53" customFormat="1" x14ac:dyDescent="0.25">
      <c r="A125" s="51"/>
      <c r="B125" s="17">
        <f t="shared" si="0"/>
        <v>118</v>
      </c>
      <c r="C125" s="22" t="s">
        <v>30</v>
      </c>
      <c r="D125" s="20" t="s">
        <v>155</v>
      </c>
      <c r="E125" s="20" t="s">
        <v>329</v>
      </c>
      <c r="F125" s="20" t="s">
        <v>430</v>
      </c>
      <c r="G125" s="20" t="s">
        <v>557</v>
      </c>
      <c r="H125" s="20" t="s">
        <v>617</v>
      </c>
      <c r="I125" s="14" t="s">
        <v>919</v>
      </c>
      <c r="J125" s="20" t="s">
        <v>922</v>
      </c>
      <c r="K125" s="20" t="s">
        <v>886</v>
      </c>
      <c r="L125" s="20">
        <v>2</v>
      </c>
      <c r="M125" s="20">
        <f t="shared" ref="M125" si="112">L125*5</f>
        <v>10</v>
      </c>
      <c r="N125" s="20">
        <v>100</v>
      </c>
      <c r="O125" s="45" t="s">
        <v>921</v>
      </c>
      <c r="P125" s="15">
        <v>5.9999999999999995E-4</v>
      </c>
      <c r="Q125" s="21">
        <f t="shared" ref="Q125" si="113">P125*N125</f>
        <v>0.06</v>
      </c>
      <c r="R125" s="20"/>
      <c r="S125" s="20"/>
    </row>
    <row r="126" spans="1:19" s="53" customFormat="1" x14ac:dyDescent="0.25">
      <c r="A126" s="51"/>
      <c r="B126" s="16">
        <f>ROW(B126) - ROW($B$7)</f>
        <v>119</v>
      </c>
      <c r="C126" s="22" t="s">
        <v>30</v>
      </c>
      <c r="D126" s="14" t="s">
        <v>156</v>
      </c>
      <c r="E126" s="14" t="s">
        <v>330</v>
      </c>
      <c r="F126" s="14" t="s">
        <v>433</v>
      </c>
      <c r="G126" s="14" t="s">
        <v>558</v>
      </c>
      <c r="H126" s="14" t="s">
        <v>617</v>
      </c>
      <c r="I126" s="14" t="s">
        <v>919</v>
      </c>
      <c r="J126" s="14" t="s">
        <v>780</v>
      </c>
      <c r="K126" s="14" t="s">
        <v>878</v>
      </c>
      <c r="L126" s="14">
        <v>3</v>
      </c>
      <c r="M126" s="14">
        <f>L126*5</f>
        <v>15</v>
      </c>
      <c r="N126" s="14">
        <v>100</v>
      </c>
      <c r="O126" s="45" t="s">
        <v>921</v>
      </c>
      <c r="P126" s="15">
        <v>1.1999999999999999E-3</v>
      </c>
      <c r="Q126" s="15">
        <f>P126*N126</f>
        <v>0.12</v>
      </c>
      <c r="R126" s="14"/>
      <c r="S126" s="52"/>
    </row>
    <row r="127" spans="1:19" s="53" customFormat="1" x14ac:dyDescent="0.25">
      <c r="A127" s="51"/>
      <c r="B127" s="17">
        <f t="shared" si="0"/>
        <v>120</v>
      </c>
      <c r="C127" s="22" t="s">
        <v>30</v>
      </c>
      <c r="D127" s="20" t="s">
        <v>157</v>
      </c>
      <c r="E127" s="20" t="s">
        <v>331</v>
      </c>
      <c r="F127" s="20" t="s">
        <v>430</v>
      </c>
      <c r="G127" s="20" t="s">
        <v>559</v>
      </c>
      <c r="H127" s="20" t="s">
        <v>617</v>
      </c>
      <c r="I127" s="14" t="s">
        <v>919</v>
      </c>
      <c r="J127" s="20" t="s">
        <v>781</v>
      </c>
      <c r="K127" s="20" t="s">
        <v>887</v>
      </c>
      <c r="L127" s="20">
        <v>1</v>
      </c>
      <c r="M127" s="20">
        <f t="shared" ref="M127" si="114">L127*5</f>
        <v>5</v>
      </c>
      <c r="N127" s="20">
        <v>100</v>
      </c>
      <c r="O127" s="45" t="s">
        <v>921</v>
      </c>
      <c r="P127" s="15">
        <v>2.3999999999999998E-3</v>
      </c>
      <c r="Q127" s="21">
        <f t="shared" ref="Q127" si="115">P127*N127</f>
        <v>0.24</v>
      </c>
      <c r="R127" s="20"/>
      <c r="S127" s="20"/>
    </row>
    <row r="128" spans="1:19" s="53" customFormat="1" x14ac:dyDescent="0.25">
      <c r="A128" s="51"/>
      <c r="B128" s="16">
        <f>ROW(B128) - ROW($B$7)</f>
        <v>121</v>
      </c>
      <c r="C128" s="22" t="s">
        <v>31</v>
      </c>
      <c r="D128" s="14" t="s">
        <v>158</v>
      </c>
      <c r="E128" s="14" t="s">
        <v>332</v>
      </c>
      <c r="F128" s="14" t="s">
        <v>430</v>
      </c>
      <c r="G128" s="14" t="s">
        <v>560</v>
      </c>
      <c r="H128" s="14" t="s">
        <v>617</v>
      </c>
      <c r="I128" s="14" t="s">
        <v>919</v>
      </c>
      <c r="J128" s="14" t="s">
        <v>782</v>
      </c>
      <c r="K128" s="14" t="s">
        <v>888</v>
      </c>
      <c r="L128" s="14">
        <v>2</v>
      </c>
      <c r="M128" s="14">
        <f>L128*5</f>
        <v>10</v>
      </c>
      <c r="N128" s="14">
        <v>100</v>
      </c>
      <c r="O128" s="45" t="s">
        <v>921</v>
      </c>
      <c r="P128" s="15">
        <v>5.9999999999999995E-4</v>
      </c>
      <c r="Q128" s="15">
        <f>P128*N128</f>
        <v>0.06</v>
      </c>
      <c r="R128" s="14"/>
      <c r="S128" s="52"/>
    </row>
    <row r="129" spans="1:19" s="53" customFormat="1" x14ac:dyDescent="0.25">
      <c r="A129" s="51"/>
      <c r="B129" s="17">
        <f t="shared" si="0"/>
        <v>122</v>
      </c>
      <c r="C129" s="22" t="s">
        <v>31</v>
      </c>
      <c r="D129" s="42" t="s">
        <v>159</v>
      </c>
      <c r="E129" s="42" t="s">
        <v>316</v>
      </c>
      <c r="F129" s="42" t="s">
        <v>430</v>
      </c>
      <c r="G129" s="42" t="s">
        <v>544</v>
      </c>
      <c r="H129" s="42" t="s">
        <v>617</v>
      </c>
      <c r="I129" s="14" t="s">
        <v>919</v>
      </c>
      <c r="J129" s="42" t="s">
        <v>768</v>
      </c>
      <c r="K129" s="42" t="s">
        <v>849</v>
      </c>
      <c r="L129" s="42">
        <v>1</v>
      </c>
      <c r="M129" s="42">
        <f t="shared" ref="M129" si="116">L129*5</f>
        <v>5</v>
      </c>
      <c r="N129" s="42" t="s">
        <v>919</v>
      </c>
      <c r="O129" s="42" t="s">
        <v>919</v>
      </c>
      <c r="P129" s="46" t="s">
        <v>919</v>
      </c>
      <c r="Q129" s="47" t="s">
        <v>919</v>
      </c>
      <c r="R129" s="42" t="s">
        <v>919</v>
      </c>
      <c r="S129" s="43" t="s">
        <v>920</v>
      </c>
    </row>
    <row r="130" spans="1:19" s="53" customFormat="1" x14ac:dyDescent="0.25">
      <c r="A130" s="51"/>
      <c r="B130" s="16">
        <f>ROW(B130) - ROW($B$7)</f>
        <v>123</v>
      </c>
      <c r="C130" s="22" t="s">
        <v>30</v>
      </c>
      <c r="D130" s="14" t="s">
        <v>160</v>
      </c>
      <c r="E130" s="14" t="s">
        <v>333</v>
      </c>
      <c r="F130" s="14" t="s">
        <v>430</v>
      </c>
      <c r="G130" s="14" t="s">
        <v>561</v>
      </c>
      <c r="H130" s="14" t="s">
        <v>617</v>
      </c>
      <c r="I130" s="14" t="s">
        <v>919</v>
      </c>
      <c r="J130" s="14" t="s">
        <v>783</v>
      </c>
      <c r="K130" s="14" t="s">
        <v>889</v>
      </c>
      <c r="L130" s="14">
        <v>1</v>
      </c>
      <c r="M130" s="14">
        <f>L130*5</f>
        <v>5</v>
      </c>
      <c r="N130" s="14">
        <v>100</v>
      </c>
      <c r="O130" s="45" t="s">
        <v>921</v>
      </c>
      <c r="P130" s="15">
        <v>5.9999999999999995E-4</v>
      </c>
      <c r="Q130" s="15">
        <f>P130*N130</f>
        <v>0.06</v>
      </c>
      <c r="R130" s="14"/>
      <c r="S130" s="52"/>
    </row>
    <row r="131" spans="1:19" s="53" customFormat="1" x14ac:dyDescent="0.25">
      <c r="A131" s="51"/>
      <c r="B131" s="17">
        <f t="shared" si="0"/>
        <v>124</v>
      </c>
      <c r="C131" s="23" t="s">
        <v>30</v>
      </c>
      <c r="D131" s="20" t="s">
        <v>161</v>
      </c>
      <c r="E131" s="20" t="s">
        <v>334</v>
      </c>
      <c r="F131" s="20" t="s">
        <v>430</v>
      </c>
      <c r="G131" s="20" t="s">
        <v>562</v>
      </c>
      <c r="H131" s="20" t="s">
        <v>617</v>
      </c>
      <c r="I131" s="14" t="s">
        <v>919</v>
      </c>
      <c r="J131" s="20" t="s">
        <v>784</v>
      </c>
      <c r="K131" s="20" t="s">
        <v>890</v>
      </c>
      <c r="L131" s="20">
        <v>1</v>
      </c>
      <c r="M131" s="20">
        <f t="shared" ref="M131" si="117">L131*5</f>
        <v>5</v>
      </c>
      <c r="N131" s="20">
        <v>100</v>
      </c>
      <c r="O131" s="45" t="s">
        <v>921</v>
      </c>
      <c r="P131" s="15">
        <v>5.9999999999999995E-4</v>
      </c>
      <c r="Q131" s="21">
        <f t="shared" ref="Q131" si="118">P131*N131</f>
        <v>0.06</v>
      </c>
      <c r="R131" s="20"/>
      <c r="S131" s="20"/>
    </row>
    <row r="132" spans="1:19" s="53" customFormat="1" x14ac:dyDescent="0.25">
      <c r="A132" s="51"/>
      <c r="B132" s="16">
        <f>ROW(B132) - ROW($B$7)</f>
        <v>125</v>
      </c>
      <c r="C132" s="22" t="s">
        <v>31</v>
      </c>
      <c r="D132" s="14" t="s">
        <v>162</v>
      </c>
      <c r="E132" s="14" t="s">
        <v>335</v>
      </c>
      <c r="F132" s="14" t="s">
        <v>435</v>
      </c>
      <c r="G132" s="14" t="s">
        <v>563</v>
      </c>
      <c r="H132" s="14" t="s">
        <v>617</v>
      </c>
      <c r="I132" s="14" t="s">
        <v>919</v>
      </c>
      <c r="J132" s="14" t="s">
        <v>785</v>
      </c>
      <c r="K132" s="14" t="s">
        <v>891</v>
      </c>
      <c r="L132" s="14">
        <v>1</v>
      </c>
      <c r="M132" s="14">
        <f>L132*5</f>
        <v>5</v>
      </c>
      <c r="N132" s="14">
        <v>50</v>
      </c>
      <c r="O132" s="45" t="s">
        <v>921</v>
      </c>
      <c r="P132" s="15">
        <v>1.21E-2</v>
      </c>
      <c r="Q132" s="15">
        <f>P132*N132</f>
        <v>0.60499999999999998</v>
      </c>
      <c r="R132" s="14"/>
      <c r="S132" s="52"/>
    </row>
    <row r="133" spans="1:19" s="53" customFormat="1" x14ac:dyDescent="0.25">
      <c r="A133" s="51"/>
      <c r="B133" s="17">
        <f t="shared" si="0"/>
        <v>126</v>
      </c>
      <c r="C133" s="22" t="s">
        <v>31</v>
      </c>
      <c r="D133" s="20" t="s">
        <v>163</v>
      </c>
      <c r="E133" s="20" t="s">
        <v>336</v>
      </c>
      <c r="F133" s="20" t="s">
        <v>430</v>
      </c>
      <c r="G133" s="20" t="s">
        <v>564</v>
      </c>
      <c r="H133" s="20" t="s">
        <v>617</v>
      </c>
      <c r="I133" s="14" t="s">
        <v>919</v>
      </c>
      <c r="J133" s="20" t="s">
        <v>923</v>
      </c>
      <c r="K133" s="20" t="s">
        <v>892</v>
      </c>
      <c r="L133" s="20">
        <v>5</v>
      </c>
      <c r="M133" s="20">
        <f t="shared" ref="M133" si="119">L133*5</f>
        <v>25</v>
      </c>
      <c r="N133" s="20">
        <v>100</v>
      </c>
      <c r="O133" s="45" t="s">
        <v>921</v>
      </c>
      <c r="P133" s="15">
        <v>5.9999999999999995E-4</v>
      </c>
      <c r="Q133" s="21">
        <f t="shared" ref="Q133" si="120">P133*N133</f>
        <v>0.06</v>
      </c>
      <c r="R133" s="20"/>
      <c r="S133" s="20"/>
    </row>
    <row r="134" spans="1:19" s="53" customFormat="1" x14ac:dyDescent="0.25">
      <c r="A134" s="51"/>
      <c r="B134" s="16">
        <f>ROW(B134) - ROW($B$7)</f>
        <v>127</v>
      </c>
      <c r="C134" s="22" t="s">
        <v>30</v>
      </c>
      <c r="D134" s="14" t="s">
        <v>164</v>
      </c>
      <c r="E134" s="14" t="s">
        <v>337</v>
      </c>
      <c r="F134" s="14" t="s">
        <v>433</v>
      </c>
      <c r="G134" s="14" t="s">
        <v>565</v>
      </c>
      <c r="H134" s="14" t="s">
        <v>617</v>
      </c>
      <c r="I134" s="14" t="s">
        <v>919</v>
      </c>
      <c r="J134" s="14" t="s">
        <v>786</v>
      </c>
      <c r="K134" s="14" t="s">
        <v>893</v>
      </c>
      <c r="L134" s="14">
        <v>2</v>
      </c>
      <c r="M134" s="14">
        <f>L134*5</f>
        <v>10</v>
      </c>
      <c r="N134" s="14">
        <v>100</v>
      </c>
      <c r="O134" s="45" t="s">
        <v>921</v>
      </c>
      <c r="P134" s="15">
        <v>1.1999999999999999E-3</v>
      </c>
      <c r="Q134" s="15">
        <f>P134*N134</f>
        <v>0.12</v>
      </c>
      <c r="R134" s="14"/>
      <c r="S134" s="52"/>
    </row>
    <row r="135" spans="1:19" s="53" customFormat="1" x14ac:dyDescent="0.25">
      <c r="A135" s="51"/>
      <c r="B135" s="17">
        <f t="shared" si="0"/>
        <v>128</v>
      </c>
      <c r="C135" s="23" t="s">
        <v>30</v>
      </c>
      <c r="D135" s="20" t="s">
        <v>165</v>
      </c>
      <c r="E135" s="20" t="s">
        <v>338</v>
      </c>
      <c r="F135" s="20" t="s">
        <v>433</v>
      </c>
      <c r="G135" s="20" t="s">
        <v>566</v>
      </c>
      <c r="H135" s="20" t="s">
        <v>617</v>
      </c>
      <c r="I135" s="14" t="s">
        <v>919</v>
      </c>
      <c r="J135" s="20" t="s">
        <v>787</v>
      </c>
      <c r="K135" s="20" t="s">
        <v>869</v>
      </c>
      <c r="L135" s="20">
        <v>2</v>
      </c>
      <c r="M135" s="20">
        <f t="shared" ref="M135" si="121">L135*5</f>
        <v>10</v>
      </c>
      <c r="N135" s="20">
        <v>100</v>
      </c>
      <c r="O135" s="45" t="s">
        <v>921</v>
      </c>
      <c r="P135" s="15">
        <v>8.9999999999999998E-4</v>
      </c>
      <c r="Q135" s="21">
        <f t="shared" ref="Q135" si="122">P135*N135</f>
        <v>0.09</v>
      </c>
      <c r="R135" s="20"/>
      <c r="S135" s="20"/>
    </row>
    <row r="136" spans="1:19" s="53" customFormat="1" x14ac:dyDescent="0.25">
      <c r="A136" s="51"/>
      <c r="B136" s="16">
        <f>ROW(B136) - ROW($B$7)</f>
        <v>129</v>
      </c>
      <c r="C136" s="23" t="s">
        <v>30</v>
      </c>
      <c r="D136" s="14" t="s">
        <v>166</v>
      </c>
      <c r="E136" s="14" t="s">
        <v>339</v>
      </c>
      <c r="F136" s="14" t="s">
        <v>430</v>
      </c>
      <c r="G136" s="14" t="s">
        <v>567</v>
      </c>
      <c r="H136" s="14" t="s">
        <v>617</v>
      </c>
      <c r="I136" s="14" t="s">
        <v>919</v>
      </c>
      <c r="J136" s="14" t="s">
        <v>788</v>
      </c>
      <c r="K136" s="14" t="s">
        <v>894</v>
      </c>
      <c r="L136" s="14">
        <v>5</v>
      </c>
      <c r="M136" s="14">
        <f>L136*5</f>
        <v>25</v>
      </c>
      <c r="N136" s="14">
        <v>100</v>
      </c>
      <c r="O136" s="45" t="s">
        <v>921</v>
      </c>
      <c r="P136" s="15">
        <v>5.9999999999999995E-4</v>
      </c>
      <c r="Q136" s="15">
        <f>P136*N136</f>
        <v>0.06</v>
      </c>
      <c r="R136" s="14"/>
      <c r="S136" s="52"/>
    </row>
    <row r="137" spans="1:19" s="53" customFormat="1" x14ac:dyDescent="0.25">
      <c r="A137" s="51"/>
      <c r="B137" s="17">
        <f t="shared" si="0"/>
        <v>130</v>
      </c>
      <c r="C137" s="23" t="s">
        <v>30</v>
      </c>
      <c r="D137" s="20" t="s">
        <v>167</v>
      </c>
      <c r="E137" s="20" t="s">
        <v>340</v>
      </c>
      <c r="F137" s="20" t="s">
        <v>430</v>
      </c>
      <c r="G137" s="20" t="s">
        <v>568</v>
      </c>
      <c r="H137" s="20" t="s">
        <v>617</v>
      </c>
      <c r="I137" s="14" t="s">
        <v>919</v>
      </c>
      <c r="J137" s="20" t="s">
        <v>789</v>
      </c>
      <c r="K137" s="20" t="s">
        <v>893</v>
      </c>
      <c r="L137" s="20">
        <v>1</v>
      </c>
      <c r="M137" s="20">
        <f t="shared" ref="M137" si="123">L137*5</f>
        <v>5</v>
      </c>
      <c r="N137" s="20">
        <v>50</v>
      </c>
      <c r="O137" s="45" t="s">
        <v>921</v>
      </c>
      <c r="P137" s="15">
        <v>1.78E-2</v>
      </c>
      <c r="Q137" s="21">
        <f t="shared" ref="Q137" si="124">P137*N137</f>
        <v>0.89</v>
      </c>
      <c r="R137" s="20"/>
      <c r="S137" s="20"/>
    </row>
    <row r="138" spans="1:19" s="53" customFormat="1" ht="24" x14ac:dyDescent="0.25">
      <c r="A138" s="51"/>
      <c r="B138" s="16">
        <f>ROW(B138) - ROW($B$7)</f>
        <v>131</v>
      </c>
      <c r="C138" s="23" t="s">
        <v>30</v>
      </c>
      <c r="D138" s="14" t="s">
        <v>168</v>
      </c>
      <c r="E138" s="14" t="s">
        <v>341</v>
      </c>
      <c r="F138" s="14" t="s">
        <v>434</v>
      </c>
      <c r="G138" s="14" t="s">
        <v>569</v>
      </c>
      <c r="H138" s="14" t="s">
        <v>617</v>
      </c>
      <c r="I138" s="14" t="s">
        <v>919</v>
      </c>
      <c r="J138" s="14" t="s">
        <v>790</v>
      </c>
      <c r="K138" s="14" t="s">
        <v>871</v>
      </c>
      <c r="L138" s="14">
        <v>8</v>
      </c>
      <c r="M138" s="14">
        <f>L138*5</f>
        <v>40</v>
      </c>
      <c r="N138" s="14">
        <v>100</v>
      </c>
      <c r="O138" s="45" t="s">
        <v>921</v>
      </c>
      <c r="P138" s="15">
        <v>8.0000000000000004E-4</v>
      </c>
      <c r="Q138" s="15">
        <f>P138*N138</f>
        <v>0.08</v>
      </c>
      <c r="R138" s="14"/>
      <c r="S138" s="52"/>
    </row>
    <row r="139" spans="1:19" s="53" customFormat="1" x14ac:dyDescent="0.25">
      <c r="A139" s="51"/>
      <c r="B139" s="17">
        <f t="shared" si="0"/>
        <v>132</v>
      </c>
      <c r="C139" s="23" t="s">
        <v>30</v>
      </c>
      <c r="D139" s="20" t="s">
        <v>169</v>
      </c>
      <c r="E139" s="20" t="s">
        <v>342</v>
      </c>
      <c r="F139" s="20" t="s">
        <v>436</v>
      </c>
      <c r="G139" s="20" t="s">
        <v>570</v>
      </c>
      <c r="H139" s="20" t="s">
        <v>617</v>
      </c>
      <c r="I139" s="14" t="s">
        <v>919</v>
      </c>
      <c r="J139" s="20" t="s">
        <v>791</v>
      </c>
      <c r="K139" s="20" t="s">
        <v>866</v>
      </c>
      <c r="L139" s="20">
        <v>1</v>
      </c>
      <c r="M139" s="20">
        <f t="shared" ref="M139" si="125">L139*5</f>
        <v>5</v>
      </c>
      <c r="N139" s="20">
        <v>100</v>
      </c>
      <c r="O139" s="45" t="s">
        <v>921</v>
      </c>
      <c r="P139" s="15">
        <v>2E-3</v>
      </c>
      <c r="Q139" s="21">
        <f t="shared" ref="Q139" si="126">P139*N139</f>
        <v>0.2</v>
      </c>
      <c r="R139" s="20"/>
      <c r="S139" s="20"/>
    </row>
    <row r="140" spans="1:19" s="53" customFormat="1" x14ac:dyDescent="0.25">
      <c r="A140" s="51"/>
      <c r="B140" s="16">
        <f>ROW(B140) - ROW($B$7)</f>
        <v>133</v>
      </c>
      <c r="C140" s="22" t="s">
        <v>30</v>
      </c>
      <c r="D140" s="14" t="s">
        <v>170</v>
      </c>
      <c r="E140" s="14" t="s">
        <v>343</v>
      </c>
      <c r="F140" s="14" t="s">
        <v>433</v>
      </c>
      <c r="G140" s="14" t="s">
        <v>571</v>
      </c>
      <c r="H140" s="14" t="s">
        <v>617</v>
      </c>
      <c r="I140" s="14" t="s">
        <v>919</v>
      </c>
      <c r="J140" s="14" t="s">
        <v>792</v>
      </c>
      <c r="K140" s="14" t="s">
        <v>895</v>
      </c>
      <c r="L140" s="14">
        <v>2</v>
      </c>
      <c r="M140" s="14">
        <f>L140*5</f>
        <v>10</v>
      </c>
      <c r="N140" s="14">
        <v>20</v>
      </c>
      <c r="O140" s="45" t="s">
        <v>921</v>
      </c>
      <c r="P140" s="15">
        <v>2.2800000000000001E-2</v>
      </c>
      <c r="Q140" s="15">
        <f>P140*N140</f>
        <v>0.45600000000000002</v>
      </c>
      <c r="R140" s="14"/>
      <c r="S140" s="52"/>
    </row>
    <row r="141" spans="1:19" s="53" customFormat="1" x14ac:dyDescent="0.25">
      <c r="A141" s="51"/>
      <c r="B141" s="17">
        <f t="shared" si="0"/>
        <v>134</v>
      </c>
      <c r="C141" s="23" t="s">
        <v>32</v>
      </c>
      <c r="D141" s="20" t="s">
        <v>171</v>
      </c>
      <c r="E141" s="20" t="s">
        <v>344</v>
      </c>
      <c r="F141" s="20" t="s">
        <v>933</v>
      </c>
      <c r="G141" s="20" t="s">
        <v>572</v>
      </c>
      <c r="H141" s="20" t="s">
        <v>649</v>
      </c>
      <c r="I141" s="14" t="s">
        <v>919</v>
      </c>
      <c r="J141" s="20" t="s">
        <v>793</v>
      </c>
      <c r="K141" s="20" t="s">
        <v>896</v>
      </c>
      <c r="L141" s="20">
        <v>2</v>
      </c>
      <c r="M141" s="20">
        <f t="shared" ref="M141" si="127">L141*5</f>
        <v>10</v>
      </c>
      <c r="N141" s="20">
        <v>15</v>
      </c>
      <c r="O141" s="45" t="s">
        <v>921</v>
      </c>
      <c r="P141" s="15">
        <v>0.13780000000000001</v>
      </c>
      <c r="Q141" s="21">
        <f t="shared" ref="Q141" si="128">P141*N141</f>
        <v>2.0670000000000002</v>
      </c>
      <c r="R141" s="20"/>
      <c r="S141" s="20"/>
    </row>
    <row r="142" spans="1:19" s="53" customFormat="1" x14ac:dyDescent="0.25">
      <c r="A142" s="51"/>
      <c r="B142" s="16">
        <f>ROW(B142) - ROW($B$7)</f>
        <v>135</v>
      </c>
      <c r="C142" s="22" t="s">
        <v>30</v>
      </c>
      <c r="D142" s="14" t="s">
        <v>172</v>
      </c>
      <c r="E142" s="14" t="s">
        <v>345</v>
      </c>
      <c r="F142" s="14" t="s">
        <v>433</v>
      </c>
      <c r="G142" s="14" t="s">
        <v>573</v>
      </c>
      <c r="H142" s="14" t="s">
        <v>617</v>
      </c>
      <c r="I142" s="14" t="s">
        <v>919</v>
      </c>
      <c r="J142" s="14" t="s">
        <v>794</v>
      </c>
      <c r="K142" s="14" t="s">
        <v>897</v>
      </c>
      <c r="L142" s="14">
        <v>1</v>
      </c>
      <c r="M142" s="14">
        <f>L142*5</f>
        <v>5</v>
      </c>
      <c r="N142" s="14">
        <v>20</v>
      </c>
      <c r="O142" s="45" t="s">
        <v>921</v>
      </c>
      <c r="P142" s="15">
        <v>2.23E-2</v>
      </c>
      <c r="Q142" s="15">
        <f>P142*N142</f>
        <v>0.44600000000000001</v>
      </c>
      <c r="R142" s="14"/>
      <c r="S142" s="52"/>
    </row>
    <row r="143" spans="1:19" s="53" customFormat="1" x14ac:dyDescent="0.25">
      <c r="A143" s="51"/>
      <c r="B143" s="17">
        <f t="shared" si="0"/>
        <v>136</v>
      </c>
      <c r="C143" s="22" t="s">
        <v>30</v>
      </c>
      <c r="D143" s="20" t="s">
        <v>173</v>
      </c>
      <c r="E143" s="20" t="s">
        <v>346</v>
      </c>
      <c r="F143" s="20" t="s">
        <v>430</v>
      </c>
      <c r="G143" s="20" t="s">
        <v>574</v>
      </c>
      <c r="H143" s="20" t="s">
        <v>617</v>
      </c>
      <c r="I143" s="14" t="s">
        <v>919</v>
      </c>
      <c r="J143" s="20" t="s">
        <v>795</v>
      </c>
      <c r="K143" s="20" t="s">
        <v>898</v>
      </c>
      <c r="L143" s="20">
        <v>1</v>
      </c>
      <c r="M143" s="20">
        <f t="shared" ref="M143" si="129">L143*5</f>
        <v>5</v>
      </c>
      <c r="N143" s="20">
        <v>100</v>
      </c>
      <c r="O143" s="45" t="s">
        <v>921</v>
      </c>
      <c r="P143" s="15">
        <v>6.3E-3</v>
      </c>
      <c r="Q143" s="21">
        <f t="shared" ref="Q143" si="130">P143*N143</f>
        <v>0.63</v>
      </c>
      <c r="R143" s="20"/>
      <c r="S143" s="20"/>
    </row>
    <row r="144" spans="1:19" s="53" customFormat="1" x14ac:dyDescent="0.25">
      <c r="A144" s="51"/>
      <c r="B144" s="16">
        <f>ROW(B144) - ROW($B$7)</f>
        <v>137</v>
      </c>
      <c r="C144" s="22" t="s">
        <v>30</v>
      </c>
      <c r="D144" s="14" t="s">
        <v>174</v>
      </c>
      <c r="E144" s="14" t="s">
        <v>347</v>
      </c>
      <c r="F144" s="14" t="s">
        <v>436</v>
      </c>
      <c r="G144" s="14" t="s">
        <v>575</v>
      </c>
      <c r="H144" s="14" t="s">
        <v>617</v>
      </c>
      <c r="I144" s="14" t="s">
        <v>919</v>
      </c>
      <c r="J144" s="14" t="s">
        <v>796</v>
      </c>
      <c r="K144" s="14" t="s">
        <v>878</v>
      </c>
      <c r="L144" s="14">
        <v>1</v>
      </c>
      <c r="M144" s="14">
        <f>L144*5</f>
        <v>5</v>
      </c>
      <c r="N144" s="14">
        <v>100</v>
      </c>
      <c r="O144" s="45" t="s">
        <v>921</v>
      </c>
      <c r="P144" s="15">
        <v>2E-3</v>
      </c>
      <c r="Q144" s="15">
        <f>P144*N144</f>
        <v>0.2</v>
      </c>
      <c r="R144" s="14"/>
      <c r="S144" s="52"/>
    </row>
    <row r="145" spans="1:19" s="53" customFormat="1" x14ac:dyDescent="0.25">
      <c r="A145" s="51"/>
      <c r="B145" s="17">
        <f t="shared" si="0"/>
        <v>138</v>
      </c>
      <c r="C145" s="22" t="s">
        <v>30</v>
      </c>
      <c r="D145" s="20" t="s">
        <v>175</v>
      </c>
      <c r="E145" s="20" t="s">
        <v>348</v>
      </c>
      <c r="F145" s="20" t="s">
        <v>430</v>
      </c>
      <c r="G145" s="20" t="s">
        <v>576</v>
      </c>
      <c r="H145" s="20" t="s">
        <v>617</v>
      </c>
      <c r="I145" s="14" t="s">
        <v>919</v>
      </c>
      <c r="J145" s="20" t="s">
        <v>797</v>
      </c>
      <c r="K145" s="20" t="s">
        <v>899</v>
      </c>
      <c r="L145" s="20">
        <v>1</v>
      </c>
      <c r="M145" s="20">
        <f t="shared" ref="M145" si="131">L145*5</f>
        <v>5</v>
      </c>
      <c r="N145" s="20">
        <v>100</v>
      </c>
      <c r="O145" s="45" t="s">
        <v>921</v>
      </c>
      <c r="P145" s="15">
        <v>6.9999999999999999E-4</v>
      </c>
      <c r="Q145" s="21">
        <f t="shared" ref="Q145" si="132">P145*N145</f>
        <v>6.9999999999999993E-2</v>
      </c>
      <c r="R145" s="20"/>
      <c r="S145" s="20"/>
    </row>
    <row r="146" spans="1:19" s="53" customFormat="1" x14ac:dyDescent="0.25">
      <c r="A146" s="51"/>
      <c r="B146" s="16">
        <f>ROW(B146) - ROW($B$7)</f>
        <v>139</v>
      </c>
      <c r="C146" s="22" t="s">
        <v>30</v>
      </c>
      <c r="D146" s="14" t="s">
        <v>176</v>
      </c>
      <c r="E146" s="14" t="s">
        <v>349</v>
      </c>
      <c r="F146" s="14" t="s">
        <v>433</v>
      </c>
      <c r="G146" s="14" t="s">
        <v>577</v>
      </c>
      <c r="H146" s="14" t="s">
        <v>617</v>
      </c>
      <c r="I146" s="14" t="s">
        <v>919</v>
      </c>
      <c r="J146" s="14" t="s">
        <v>798</v>
      </c>
      <c r="K146" s="14" t="s">
        <v>863</v>
      </c>
      <c r="L146" s="14">
        <v>2</v>
      </c>
      <c r="M146" s="14">
        <f>L146*5</f>
        <v>10</v>
      </c>
      <c r="N146" s="14">
        <v>20</v>
      </c>
      <c r="O146" s="45" t="s">
        <v>921</v>
      </c>
      <c r="P146" s="15">
        <v>1.9199999999999998E-2</v>
      </c>
      <c r="Q146" s="15">
        <f>P146*N146</f>
        <v>0.38399999999999995</v>
      </c>
      <c r="R146" s="14"/>
      <c r="S146" s="52"/>
    </row>
    <row r="147" spans="1:19" s="53" customFormat="1" x14ac:dyDescent="0.25">
      <c r="A147" s="51"/>
      <c r="B147" s="17">
        <f t="shared" si="0"/>
        <v>140</v>
      </c>
      <c r="C147" s="22" t="s">
        <v>30</v>
      </c>
      <c r="D147" s="20" t="s">
        <v>177</v>
      </c>
      <c r="E147" s="20" t="s">
        <v>350</v>
      </c>
      <c r="F147" s="20" t="s">
        <v>433</v>
      </c>
      <c r="G147" s="20" t="s">
        <v>578</v>
      </c>
      <c r="H147" s="20" t="s">
        <v>617</v>
      </c>
      <c r="I147" s="14" t="s">
        <v>919</v>
      </c>
      <c r="J147" s="20" t="s">
        <v>799</v>
      </c>
      <c r="K147" s="20" t="s">
        <v>900</v>
      </c>
      <c r="L147" s="20">
        <v>1</v>
      </c>
      <c r="M147" s="20">
        <f t="shared" ref="M147" si="133">L147*5</f>
        <v>5</v>
      </c>
      <c r="N147" s="20">
        <v>100</v>
      </c>
      <c r="O147" s="45" t="s">
        <v>921</v>
      </c>
      <c r="P147" s="15">
        <v>1.1999999999999999E-3</v>
      </c>
      <c r="Q147" s="21">
        <f t="shared" ref="Q147" si="134">P147*N147</f>
        <v>0.12</v>
      </c>
      <c r="R147" s="20"/>
      <c r="S147" s="20"/>
    </row>
    <row r="148" spans="1:19" s="53" customFormat="1" x14ac:dyDescent="0.25">
      <c r="A148" s="51"/>
      <c r="B148" s="16">
        <f>ROW(B148) - ROW($B$7)</f>
        <v>141</v>
      </c>
      <c r="C148" s="22" t="s">
        <v>30</v>
      </c>
      <c r="D148" s="14" t="s">
        <v>178</v>
      </c>
      <c r="E148" s="14" t="s">
        <v>300</v>
      </c>
      <c r="F148" s="14" t="s">
        <v>431</v>
      </c>
      <c r="G148" s="50" t="s">
        <v>528</v>
      </c>
      <c r="H148" s="14" t="s">
        <v>617</v>
      </c>
      <c r="I148" s="14" t="s">
        <v>929</v>
      </c>
      <c r="J148" s="14" t="s">
        <v>928</v>
      </c>
      <c r="K148" s="14" t="s">
        <v>871</v>
      </c>
      <c r="L148" s="14">
        <v>1</v>
      </c>
      <c r="M148" s="14">
        <f>L148*5</f>
        <v>5</v>
      </c>
      <c r="N148" s="14">
        <v>100</v>
      </c>
      <c r="O148" s="45" t="s">
        <v>921</v>
      </c>
      <c r="P148" s="15">
        <v>1.6000000000000001E-3</v>
      </c>
      <c r="Q148" s="15">
        <f>P148*N148</f>
        <v>0.16</v>
      </c>
      <c r="R148" s="14"/>
      <c r="S148" s="52"/>
    </row>
    <row r="149" spans="1:19" s="53" customFormat="1" x14ac:dyDescent="0.25">
      <c r="A149" s="51"/>
      <c r="B149" s="17">
        <f t="shared" si="0"/>
        <v>142</v>
      </c>
      <c r="C149" s="23" t="s">
        <v>30</v>
      </c>
      <c r="D149" s="20" t="s">
        <v>179</v>
      </c>
      <c r="E149" s="20" t="s">
        <v>351</v>
      </c>
      <c r="F149" s="20" t="s">
        <v>433</v>
      </c>
      <c r="G149" s="20" t="s">
        <v>579</v>
      </c>
      <c r="H149" s="20" t="s">
        <v>617</v>
      </c>
      <c r="I149" s="20" t="s">
        <v>919</v>
      </c>
      <c r="J149" s="20" t="s">
        <v>800</v>
      </c>
      <c r="K149" s="20" t="s">
        <v>901</v>
      </c>
      <c r="L149" s="20">
        <v>1</v>
      </c>
      <c r="M149" s="20">
        <f t="shared" ref="M149" si="135">L149*5</f>
        <v>5</v>
      </c>
      <c r="N149" s="20">
        <v>100</v>
      </c>
      <c r="O149" s="45" t="s">
        <v>921</v>
      </c>
      <c r="P149" s="15">
        <v>2.8999999999999998E-3</v>
      </c>
      <c r="Q149" s="21">
        <f t="shared" ref="Q149" si="136">P149*N149</f>
        <v>0.28999999999999998</v>
      </c>
      <c r="R149" s="20"/>
      <c r="S149" s="20"/>
    </row>
    <row r="150" spans="1:19" s="53" customFormat="1" x14ac:dyDescent="0.25">
      <c r="A150" s="51"/>
      <c r="B150" s="16">
        <f>ROW(B150) - ROW($B$7)</f>
        <v>143</v>
      </c>
      <c r="C150" s="22" t="s">
        <v>30</v>
      </c>
      <c r="D150" s="14" t="s">
        <v>180</v>
      </c>
      <c r="E150" s="14" t="s">
        <v>352</v>
      </c>
      <c r="F150" s="14" t="s">
        <v>433</v>
      </c>
      <c r="G150" s="14" t="s">
        <v>580</v>
      </c>
      <c r="H150" s="14" t="s">
        <v>617</v>
      </c>
      <c r="I150" s="20" t="s">
        <v>919</v>
      </c>
      <c r="J150" s="14" t="s">
        <v>801</v>
      </c>
      <c r="K150" s="14" t="s">
        <v>865</v>
      </c>
      <c r="L150" s="14">
        <v>1</v>
      </c>
      <c r="M150" s="14">
        <f>L150*5</f>
        <v>5</v>
      </c>
      <c r="N150" s="14">
        <v>20</v>
      </c>
      <c r="O150" s="45" t="s">
        <v>921</v>
      </c>
      <c r="P150" s="15">
        <v>1.9599999999999999E-2</v>
      </c>
      <c r="Q150" s="15">
        <f>P150*N150</f>
        <v>0.39200000000000002</v>
      </c>
      <c r="R150" s="14"/>
      <c r="S150" s="52"/>
    </row>
    <row r="151" spans="1:19" s="53" customFormat="1" x14ac:dyDescent="0.25">
      <c r="A151" s="51"/>
      <c r="B151" s="17">
        <f t="shared" si="0"/>
        <v>144</v>
      </c>
      <c r="C151" s="23" t="s">
        <v>30</v>
      </c>
      <c r="D151" s="20" t="s">
        <v>181</v>
      </c>
      <c r="E151" s="20" t="s">
        <v>353</v>
      </c>
      <c r="F151" s="20" t="s">
        <v>433</v>
      </c>
      <c r="G151" s="20" t="s">
        <v>581</v>
      </c>
      <c r="H151" s="20" t="s">
        <v>617</v>
      </c>
      <c r="I151" s="20" t="s">
        <v>919</v>
      </c>
      <c r="J151" s="20" t="s">
        <v>802</v>
      </c>
      <c r="K151" s="20" t="s">
        <v>902</v>
      </c>
      <c r="L151" s="20">
        <v>1</v>
      </c>
      <c r="M151" s="20">
        <f t="shared" ref="M151" si="137">L151*5</f>
        <v>5</v>
      </c>
      <c r="N151" s="20">
        <v>20</v>
      </c>
      <c r="O151" s="45" t="s">
        <v>921</v>
      </c>
      <c r="P151" s="15">
        <v>2.3400000000000001E-2</v>
      </c>
      <c r="Q151" s="21">
        <f t="shared" ref="Q151" si="138">P151*N151</f>
        <v>0.46800000000000003</v>
      </c>
      <c r="R151" s="20"/>
      <c r="S151" s="20"/>
    </row>
    <row r="152" spans="1:19" s="53" customFormat="1" x14ac:dyDescent="0.25">
      <c r="A152" s="51"/>
      <c r="B152" s="16">
        <f>ROW(B152) - ROW($B$7)</f>
        <v>145</v>
      </c>
      <c r="C152" s="23" t="s">
        <v>30</v>
      </c>
      <c r="D152" s="14" t="s">
        <v>182</v>
      </c>
      <c r="E152" s="14" t="s">
        <v>354</v>
      </c>
      <c r="F152" s="14" t="s">
        <v>433</v>
      </c>
      <c r="G152" s="14" t="s">
        <v>582</v>
      </c>
      <c r="H152" s="14" t="s">
        <v>617</v>
      </c>
      <c r="I152" s="20" t="s">
        <v>919</v>
      </c>
      <c r="J152" s="14" t="s">
        <v>803</v>
      </c>
      <c r="K152" s="14" t="s">
        <v>855</v>
      </c>
      <c r="L152" s="14">
        <v>1</v>
      </c>
      <c r="M152" s="14">
        <f>L152*5</f>
        <v>5</v>
      </c>
      <c r="N152" s="14">
        <v>100</v>
      </c>
      <c r="O152" s="45" t="s">
        <v>921</v>
      </c>
      <c r="P152" s="15">
        <v>1.1000000000000001E-3</v>
      </c>
      <c r="Q152" s="15">
        <f>P152*N152</f>
        <v>0.11</v>
      </c>
      <c r="R152" s="14"/>
      <c r="S152" s="52"/>
    </row>
    <row r="153" spans="1:19" s="53" customFormat="1" x14ac:dyDescent="0.25">
      <c r="A153" s="51"/>
      <c r="B153" s="17">
        <f t="shared" si="0"/>
        <v>146</v>
      </c>
      <c r="C153" s="23" t="s">
        <v>30</v>
      </c>
      <c r="D153" s="20" t="s">
        <v>183</v>
      </c>
      <c r="E153" s="20" t="s">
        <v>355</v>
      </c>
      <c r="F153" s="20" t="s">
        <v>433</v>
      </c>
      <c r="G153" s="20" t="s">
        <v>583</v>
      </c>
      <c r="H153" s="20" t="s">
        <v>617</v>
      </c>
      <c r="I153" s="20" t="s">
        <v>919</v>
      </c>
      <c r="J153" s="20" t="s">
        <v>804</v>
      </c>
      <c r="K153" s="20" t="s">
        <v>872</v>
      </c>
      <c r="L153" s="20">
        <v>2</v>
      </c>
      <c r="M153" s="20">
        <f t="shared" ref="M153" si="139">L153*5</f>
        <v>10</v>
      </c>
      <c r="N153" s="20">
        <v>100</v>
      </c>
      <c r="O153" s="45" t="s">
        <v>921</v>
      </c>
      <c r="P153" s="15">
        <v>1E-3</v>
      </c>
      <c r="Q153" s="21">
        <f t="shared" ref="Q153" si="140">P153*N153</f>
        <v>0.1</v>
      </c>
      <c r="R153" s="20"/>
      <c r="S153" s="20"/>
    </row>
    <row r="154" spans="1:19" s="53" customFormat="1" x14ac:dyDescent="0.25">
      <c r="A154" s="51"/>
      <c r="B154" s="16">
        <f>ROW(B154) - ROW($B$7)</f>
        <v>147</v>
      </c>
      <c r="C154" s="22" t="s">
        <v>30</v>
      </c>
      <c r="D154" s="14" t="s">
        <v>184</v>
      </c>
      <c r="E154" s="14" t="s">
        <v>356</v>
      </c>
      <c r="F154" s="14" t="s">
        <v>433</v>
      </c>
      <c r="G154" s="14" t="s">
        <v>584</v>
      </c>
      <c r="H154" s="14" t="s">
        <v>617</v>
      </c>
      <c r="I154" s="20" t="s">
        <v>919</v>
      </c>
      <c r="J154" s="14" t="s">
        <v>805</v>
      </c>
      <c r="K154" s="14" t="s">
        <v>875</v>
      </c>
      <c r="L154" s="14">
        <v>1</v>
      </c>
      <c r="M154" s="14">
        <f>L154*5</f>
        <v>5</v>
      </c>
      <c r="N154" s="14">
        <v>100</v>
      </c>
      <c r="O154" s="45" t="s">
        <v>921</v>
      </c>
      <c r="P154" s="15">
        <v>1.1000000000000001E-3</v>
      </c>
      <c r="Q154" s="15">
        <f>P154*N154</f>
        <v>0.11</v>
      </c>
      <c r="R154" s="14"/>
      <c r="S154" s="52"/>
    </row>
    <row r="155" spans="1:19" s="53" customFormat="1" x14ac:dyDescent="0.25">
      <c r="A155" s="51"/>
      <c r="B155" s="17">
        <f t="shared" si="0"/>
        <v>148</v>
      </c>
      <c r="C155" s="23" t="s">
        <v>30</v>
      </c>
      <c r="D155" s="20" t="s">
        <v>185</v>
      </c>
      <c r="E155" s="20" t="s">
        <v>357</v>
      </c>
      <c r="F155" s="20" t="s">
        <v>433</v>
      </c>
      <c r="G155" s="20" t="s">
        <v>585</v>
      </c>
      <c r="H155" s="20" t="s">
        <v>617</v>
      </c>
      <c r="I155" s="20" t="s">
        <v>919</v>
      </c>
      <c r="J155" s="20" t="s">
        <v>806</v>
      </c>
      <c r="K155" s="20" t="s">
        <v>903</v>
      </c>
      <c r="L155" s="20">
        <v>1</v>
      </c>
      <c r="M155" s="20">
        <f t="shared" ref="M155" si="141">L155*5</f>
        <v>5</v>
      </c>
      <c r="N155" s="20">
        <v>100</v>
      </c>
      <c r="O155" s="45" t="s">
        <v>921</v>
      </c>
      <c r="P155" s="15">
        <v>2.8999999999999998E-3</v>
      </c>
      <c r="Q155" s="21">
        <f t="shared" ref="Q155" si="142">P155*N155</f>
        <v>0.28999999999999998</v>
      </c>
      <c r="R155" s="20"/>
      <c r="S155" s="20"/>
    </row>
    <row r="156" spans="1:19" s="53" customFormat="1" x14ac:dyDescent="0.25">
      <c r="A156" s="51"/>
      <c r="B156" s="16">
        <f>ROW(B156) - ROW($B$7)</f>
        <v>149</v>
      </c>
      <c r="C156" s="22" t="s">
        <v>33</v>
      </c>
      <c r="D156" s="14" t="s">
        <v>186</v>
      </c>
      <c r="E156" s="14" t="s">
        <v>358</v>
      </c>
      <c r="F156" s="14" t="s">
        <v>933</v>
      </c>
      <c r="G156" s="14" t="s">
        <v>437</v>
      </c>
      <c r="H156" s="14" t="s">
        <v>650</v>
      </c>
      <c r="I156" s="20" t="s">
        <v>919</v>
      </c>
      <c r="J156" s="14" t="s">
        <v>807</v>
      </c>
      <c r="K156" s="14" t="s">
        <v>919</v>
      </c>
      <c r="L156" s="14">
        <v>5</v>
      </c>
      <c r="M156" s="14">
        <f>L156*5</f>
        <v>25</v>
      </c>
      <c r="N156" s="14">
        <v>30</v>
      </c>
      <c r="O156" s="45" t="s">
        <v>921</v>
      </c>
      <c r="P156" s="15">
        <v>0.14510000000000001</v>
      </c>
      <c r="Q156" s="15">
        <f>P156*N156</f>
        <v>4.3529999999999998</v>
      </c>
      <c r="R156" s="14"/>
      <c r="S156" s="52"/>
    </row>
    <row r="157" spans="1:19" s="53" customFormat="1" ht="36" x14ac:dyDescent="0.25">
      <c r="A157" s="51"/>
      <c r="B157" s="17">
        <f t="shared" si="0"/>
        <v>150</v>
      </c>
      <c r="C157" s="23" t="s">
        <v>34</v>
      </c>
      <c r="D157" s="20" t="s">
        <v>187</v>
      </c>
      <c r="E157" s="20" t="s">
        <v>359</v>
      </c>
      <c r="F157" s="20" t="s">
        <v>933</v>
      </c>
      <c r="G157" s="20" t="s">
        <v>438</v>
      </c>
      <c r="H157" s="20" t="s">
        <v>651</v>
      </c>
      <c r="I157" s="20" t="s">
        <v>919</v>
      </c>
      <c r="J157" s="20" t="s">
        <v>808</v>
      </c>
      <c r="K157" s="14" t="s">
        <v>919</v>
      </c>
      <c r="L157" s="20">
        <v>10</v>
      </c>
      <c r="M157" s="20">
        <f t="shared" ref="M157" si="143">L157*5</f>
        <v>50</v>
      </c>
      <c r="N157" s="20">
        <v>60</v>
      </c>
      <c r="O157" s="45" t="s">
        <v>921</v>
      </c>
      <c r="P157" s="15">
        <v>6.1699999999999998E-2</v>
      </c>
      <c r="Q157" s="21">
        <f t="shared" ref="Q157" si="144">P157*N157</f>
        <v>3.702</v>
      </c>
      <c r="R157" s="20"/>
      <c r="S157" s="20"/>
    </row>
    <row r="158" spans="1:19" s="53" customFormat="1" x14ac:dyDescent="0.25">
      <c r="A158" s="51"/>
      <c r="B158" s="16">
        <f>ROW(B158) - ROW($B$7)</f>
        <v>151</v>
      </c>
      <c r="C158" s="22" t="s">
        <v>34</v>
      </c>
      <c r="D158" s="14" t="s">
        <v>188</v>
      </c>
      <c r="E158" s="14" t="s">
        <v>360</v>
      </c>
      <c r="F158" s="14" t="s">
        <v>439</v>
      </c>
      <c r="G158" s="14" t="s">
        <v>586</v>
      </c>
      <c r="H158" s="14" t="s">
        <v>652</v>
      </c>
      <c r="I158" s="20" t="s">
        <v>919</v>
      </c>
      <c r="J158" s="14" t="s">
        <v>809</v>
      </c>
      <c r="K158" s="14" t="s">
        <v>919</v>
      </c>
      <c r="L158" s="14">
        <v>1</v>
      </c>
      <c r="M158" s="14">
        <f>L158*5</f>
        <v>5</v>
      </c>
      <c r="N158" s="14">
        <v>6</v>
      </c>
      <c r="O158" s="45" t="s">
        <v>921</v>
      </c>
      <c r="P158" s="15">
        <v>1.2396</v>
      </c>
      <c r="Q158" s="15">
        <f>P158*N158</f>
        <v>7.4375999999999998</v>
      </c>
      <c r="R158" s="14"/>
      <c r="S158" s="52"/>
    </row>
    <row r="159" spans="1:19" s="53" customFormat="1" x14ac:dyDescent="0.25">
      <c r="A159" s="51"/>
      <c r="B159" s="17">
        <f t="shared" si="0"/>
        <v>152</v>
      </c>
      <c r="C159" s="23" t="s">
        <v>34</v>
      </c>
      <c r="D159" s="20" t="s">
        <v>189</v>
      </c>
      <c r="E159" s="20" t="s">
        <v>361</v>
      </c>
      <c r="F159" s="20" t="s">
        <v>440</v>
      </c>
      <c r="G159" s="20" t="s">
        <v>587</v>
      </c>
      <c r="H159" s="20" t="s">
        <v>626</v>
      </c>
      <c r="I159" s="20" t="s">
        <v>919</v>
      </c>
      <c r="J159" s="20" t="s">
        <v>810</v>
      </c>
      <c r="K159" s="14" t="s">
        <v>919</v>
      </c>
      <c r="L159" s="20">
        <v>2</v>
      </c>
      <c r="M159" s="20">
        <f t="shared" ref="M159" si="145">L159*5</f>
        <v>10</v>
      </c>
      <c r="N159" s="20">
        <v>11</v>
      </c>
      <c r="O159" s="45" t="s">
        <v>921</v>
      </c>
      <c r="P159" s="15">
        <v>0.34910000000000002</v>
      </c>
      <c r="Q159" s="21">
        <f t="shared" ref="Q159" si="146">P159*N159</f>
        <v>3.8401000000000001</v>
      </c>
      <c r="R159" s="20"/>
      <c r="S159" s="20"/>
    </row>
    <row r="160" spans="1:19" s="53" customFormat="1" x14ac:dyDescent="0.25">
      <c r="A160" s="51"/>
      <c r="B160" s="16">
        <f>ROW(B160) - ROW($B$7)</f>
        <v>153</v>
      </c>
      <c r="C160" s="22" t="s">
        <v>34</v>
      </c>
      <c r="D160" s="14" t="s">
        <v>190</v>
      </c>
      <c r="E160" s="14" t="s">
        <v>362</v>
      </c>
      <c r="F160" s="14" t="s">
        <v>441</v>
      </c>
      <c r="G160" s="14" t="s">
        <v>588</v>
      </c>
      <c r="H160" s="14" t="s">
        <v>626</v>
      </c>
      <c r="I160" s="20" t="s">
        <v>919</v>
      </c>
      <c r="J160" s="14" t="s">
        <v>811</v>
      </c>
      <c r="K160" s="14" t="s">
        <v>919</v>
      </c>
      <c r="L160" s="14">
        <v>1</v>
      </c>
      <c r="M160" s="14">
        <f>L160*5</f>
        <v>5</v>
      </c>
      <c r="N160" s="14">
        <v>15</v>
      </c>
      <c r="O160" s="45" t="s">
        <v>921</v>
      </c>
      <c r="P160" s="15">
        <v>0.18049999999999999</v>
      </c>
      <c r="Q160" s="15">
        <f>P160*N160</f>
        <v>2.7075</v>
      </c>
      <c r="R160" s="14"/>
      <c r="S160" s="52"/>
    </row>
    <row r="161" spans="1:19" s="53" customFormat="1" ht="24" x14ac:dyDescent="0.25">
      <c r="A161" s="51"/>
      <c r="B161" s="17">
        <f t="shared" si="0"/>
        <v>154</v>
      </c>
      <c r="C161" s="23" t="s">
        <v>34</v>
      </c>
      <c r="D161" s="20" t="s">
        <v>191</v>
      </c>
      <c r="E161" s="20" t="s">
        <v>363</v>
      </c>
      <c r="F161" s="20" t="s">
        <v>442</v>
      </c>
      <c r="G161" s="20" t="s">
        <v>589</v>
      </c>
      <c r="H161" s="20" t="s">
        <v>653</v>
      </c>
      <c r="I161" s="20" t="s">
        <v>919</v>
      </c>
      <c r="J161" s="20" t="s">
        <v>812</v>
      </c>
      <c r="K161" s="14" t="s">
        <v>919</v>
      </c>
      <c r="L161" s="20">
        <v>1</v>
      </c>
      <c r="M161" s="20">
        <f t="shared" ref="M161" si="147">L161*5</f>
        <v>5</v>
      </c>
      <c r="N161" s="20">
        <v>6</v>
      </c>
      <c r="O161" s="45" t="s">
        <v>921</v>
      </c>
      <c r="P161" s="15">
        <v>2.0244</v>
      </c>
      <c r="Q161" s="21">
        <f t="shared" ref="Q161" si="148">P161*N161</f>
        <v>12.1464</v>
      </c>
      <c r="R161" s="20"/>
      <c r="S161" s="20"/>
    </row>
    <row r="162" spans="1:19" s="53" customFormat="1" ht="24" x14ac:dyDescent="0.25">
      <c r="A162" s="51"/>
      <c r="B162" s="16">
        <f>ROW(B162) - ROW($B$7)</f>
        <v>155</v>
      </c>
      <c r="C162" s="23" t="s">
        <v>34</v>
      </c>
      <c r="D162" s="14" t="s">
        <v>192</v>
      </c>
      <c r="E162" s="14" t="s">
        <v>364</v>
      </c>
      <c r="F162" s="14" t="s">
        <v>443</v>
      </c>
      <c r="G162" s="14" t="s">
        <v>590</v>
      </c>
      <c r="H162" s="14" t="s">
        <v>654</v>
      </c>
      <c r="I162" s="20" t="s">
        <v>919</v>
      </c>
      <c r="J162" s="14" t="s">
        <v>813</v>
      </c>
      <c r="K162" s="14" t="s">
        <v>919</v>
      </c>
      <c r="L162" s="14">
        <v>1</v>
      </c>
      <c r="M162" s="14">
        <f>L162*5</f>
        <v>5</v>
      </c>
      <c r="N162" s="14">
        <v>6</v>
      </c>
      <c r="O162" s="45" t="s">
        <v>921</v>
      </c>
      <c r="P162" s="15">
        <v>0.42670000000000002</v>
      </c>
      <c r="Q162" s="15">
        <f>P162*N162</f>
        <v>2.5602</v>
      </c>
      <c r="R162" s="14"/>
      <c r="S162" s="52"/>
    </row>
    <row r="163" spans="1:19" s="53" customFormat="1" ht="24" x14ac:dyDescent="0.25">
      <c r="A163" s="51"/>
      <c r="B163" s="17">
        <f t="shared" si="0"/>
        <v>156</v>
      </c>
      <c r="C163" s="23" t="s">
        <v>34</v>
      </c>
      <c r="D163" s="20" t="s">
        <v>193</v>
      </c>
      <c r="E163" s="20" t="s">
        <v>365</v>
      </c>
      <c r="F163" s="20" t="s">
        <v>444</v>
      </c>
      <c r="G163" s="20" t="s">
        <v>591</v>
      </c>
      <c r="H163" s="20" t="s">
        <v>653</v>
      </c>
      <c r="I163" s="20" t="s">
        <v>919</v>
      </c>
      <c r="J163" s="20" t="s">
        <v>814</v>
      </c>
      <c r="K163" s="14" t="s">
        <v>919</v>
      </c>
      <c r="L163" s="20">
        <v>1</v>
      </c>
      <c r="M163" s="20">
        <f t="shared" ref="M163" si="149">L163*5</f>
        <v>5</v>
      </c>
      <c r="N163" s="20">
        <v>6</v>
      </c>
      <c r="O163" s="45" t="s">
        <v>921</v>
      </c>
      <c r="P163" s="15">
        <v>19.236599999999999</v>
      </c>
      <c r="Q163" s="21">
        <f t="shared" ref="Q163" si="150">P163*N163</f>
        <v>115.4196</v>
      </c>
      <c r="R163" s="20"/>
      <c r="S163" s="20"/>
    </row>
    <row r="164" spans="1:19" s="53" customFormat="1" x14ac:dyDescent="0.25">
      <c r="A164" s="51"/>
      <c r="B164" s="16">
        <f>ROW(B164) - ROW($B$7)</f>
        <v>157</v>
      </c>
      <c r="C164" s="22" t="s">
        <v>34</v>
      </c>
      <c r="D164" s="14" t="s">
        <v>194</v>
      </c>
      <c r="E164" s="14" t="s">
        <v>366</v>
      </c>
      <c r="F164" s="14" t="s">
        <v>441</v>
      </c>
      <c r="G164" s="14" t="s">
        <v>592</v>
      </c>
      <c r="H164" s="14" t="s">
        <v>626</v>
      </c>
      <c r="I164" s="20" t="s">
        <v>919</v>
      </c>
      <c r="J164" s="14" t="s">
        <v>815</v>
      </c>
      <c r="K164" s="14" t="s">
        <v>919</v>
      </c>
      <c r="L164" s="14">
        <v>1</v>
      </c>
      <c r="M164" s="14">
        <f>L164*5</f>
        <v>5</v>
      </c>
      <c r="N164" s="14">
        <v>10</v>
      </c>
      <c r="O164" s="45" t="s">
        <v>921</v>
      </c>
      <c r="P164" s="15">
        <v>0.1477</v>
      </c>
      <c r="Q164" s="15">
        <f>P164*N164</f>
        <v>1.4769999999999999</v>
      </c>
      <c r="R164" s="14"/>
      <c r="S164" s="52"/>
    </row>
    <row r="165" spans="1:19" s="53" customFormat="1" ht="24" x14ac:dyDescent="0.25">
      <c r="A165" s="51"/>
      <c r="B165" s="17">
        <f t="shared" si="0"/>
        <v>158</v>
      </c>
      <c r="C165" s="23" t="s">
        <v>34</v>
      </c>
      <c r="D165" s="20" t="s">
        <v>195</v>
      </c>
      <c r="E165" s="20" t="s">
        <v>367</v>
      </c>
      <c r="F165" s="20" t="s">
        <v>441</v>
      </c>
      <c r="G165" s="20" t="s">
        <v>593</v>
      </c>
      <c r="H165" s="20" t="s">
        <v>654</v>
      </c>
      <c r="I165" s="20" t="s">
        <v>919</v>
      </c>
      <c r="J165" s="20" t="s">
        <v>816</v>
      </c>
      <c r="K165" s="14" t="s">
        <v>919</v>
      </c>
      <c r="L165" s="20">
        <v>2</v>
      </c>
      <c r="M165" s="20">
        <f t="shared" ref="M165" si="151">L165*5</f>
        <v>10</v>
      </c>
      <c r="N165" s="20">
        <v>15</v>
      </c>
      <c r="O165" s="45" t="s">
        <v>921</v>
      </c>
      <c r="P165" s="15">
        <v>9.0999999999999998E-2</v>
      </c>
      <c r="Q165" s="21">
        <f t="shared" ref="Q165" si="152">P165*N165</f>
        <v>1.365</v>
      </c>
      <c r="R165" s="20"/>
      <c r="S165" s="20"/>
    </row>
    <row r="166" spans="1:19" s="53" customFormat="1" ht="24" x14ac:dyDescent="0.25">
      <c r="A166" s="51"/>
      <c r="B166" s="16">
        <f>ROW(B166) - ROW($B$7)</f>
        <v>159</v>
      </c>
      <c r="C166" s="22" t="s">
        <v>34</v>
      </c>
      <c r="D166" s="14" t="s">
        <v>196</v>
      </c>
      <c r="E166" s="14" t="s">
        <v>368</v>
      </c>
      <c r="F166" s="14" t="s">
        <v>441</v>
      </c>
      <c r="G166" s="14" t="s">
        <v>594</v>
      </c>
      <c r="H166" s="14" t="s">
        <v>654</v>
      </c>
      <c r="I166" s="20" t="s">
        <v>919</v>
      </c>
      <c r="J166" s="14" t="s">
        <v>817</v>
      </c>
      <c r="K166" s="14" t="s">
        <v>919</v>
      </c>
      <c r="L166" s="14">
        <v>1</v>
      </c>
      <c r="M166" s="14">
        <f>L166*5</f>
        <v>5</v>
      </c>
      <c r="N166" s="14">
        <v>10</v>
      </c>
      <c r="O166" s="45" t="s">
        <v>921</v>
      </c>
      <c r="P166" s="15">
        <v>0.15029999999999999</v>
      </c>
      <c r="Q166" s="15">
        <f>P166*N166</f>
        <v>1.5029999999999999</v>
      </c>
      <c r="R166" s="14"/>
      <c r="S166" s="52"/>
    </row>
    <row r="167" spans="1:19" s="53" customFormat="1" x14ac:dyDescent="0.25">
      <c r="A167" s="51"/>
      <c r="B167" s="17">
        <f t="shared" si="0"/>
        <v>160</v>
      </c>
      <c r="C167" s="23" t="s">
        <v>34</v>
      </c>
      <c r="D167" s="20" t="s">
        <v>197</v>
      </c>
      <c r="E167" s="20" t="s">
        <v>369</v>
      </c>
      <c r="F167" s="20" t="s">
        <v>445</v>
      </c>
      <c r="G167" s="20" t="s">
        <v>595</v>
      </c>
      <c r="H167" s="20" t="s">
        <v>620</v>
      </c>
      <c r="I167" s="20" t="s">
        <v>919</v>
      </c>
      <c r="J167" s="20" t="s">
        <v>818</v>
      </c>
      <c r="K167" s="14" t="s">
        <v>919</v>
      </c>
      <c r="L167" s="20">
        <v>1</v>
      </c>
      <c r="M167" s="20">
        <f t="shared" ref="M167" si="153">L167*5</f>
        <v>5</v>
      </c>
      <c r="N167" s="20">
        <v>6</v>
      </c>
      <c r="O167" s="45" t="s">
        <v>921</v>
      </c>
      <c r="P167" s="15">
        <v>16.924299999999999</v>
      </c>
      <c r="Q167" s="21">
        <f t="shared" ref="Q167" si="154">P167*N167</f>
        <v>101.54579999999999</v>
      </c>
      <c r="R167" s="20"/>
      <c r="S167" s="20"/>
    </row>
    <row r="168" spans="1:19" s="53" customFormat="1" x14ac:dyDescent="0.25">
      <c r="A168" s="51"/>
      <c r="B168" s="16">
        <f>ROW(B168) - ROW($B$7)</f>
        <v>161</v>
      </c>
      <c r="C168" s="22" t="s">
        <v>34</v>
      </c>
      <c r="D168" s="14" t="s">
        <v>198</v>
      </c>
      <c r="E168" s="14" t="s">
        <v>370</v>
      </c>
      <c r="F168" s="14" t="s">
        <v>446</v>
      </c>
      <c r="G168" s="14" t="s">
        <v>596</v>
      </c>
      <c r="H168" s="14" t="s">
        <v>620</v>
      </c>
      <c r="I168" s="20" t="s">
        <v>919</v>
      </c>
      <c r="J168" s="14" t="s">
        <v>819</v>
      </c>
      <c r="K168" s="14" t="s">
        <v>919</v>
      </c>
      <c r="L168" s="14">
        <v>1</v>
      </c>
      <c r="M168" s="14">
        <f>L168*5</f>
        <v>5</v>
      </c>
      <c r="N168" s="14">
        <v>6</v>
      </c>
      <c r="O168" s="45" t="s">
        <v>921</v>
      </c>
      <c r="P168" s="15">
        <v>5.5877999999999997</v>
      </c>
      <c r="Q168" s="15">
        <f>P168*N168</f>
        <v>33.526799999999994</v>
      </c>
      <c r="R168" s="14"/>
      <c r="S168" s="52"/>
    </row>
    <row r="169" spans="1:19" s="53" customFormat="1" x14ac:dyDescent="0.25">
      <c r="A169" s="51"/>
      <c r="B169" s="17">
        <f t="shared" si="0"/>
        <v>162</v>
      </c>
      <c r="C169" s="23" t="s">
        <v>34</v>
      </c>
      <c r="D169" s="20" t="s">
        <v>199</v>
      </c>
      <c r="E169" s="20" t="s">
        <v>371</v>
      </c>
      <c r="F169" s="20" t="s">
        <v>447</v>
      </c>
      <c r="G169" s="20" t="s">
        <v>597</v>
      </c>
      <c r="H169" s="20" t="s">
        <v>655</v>
      </c>
      <c r="I169" s="20" t="s">
        <v>919</v>
      </c>
      <c r="J169" s="20" t="s">
        <v>820</v>
      </c>
      <c r="K169" s="14" t="s">
        <v>919</v>
      </c>
      <c r="L169" s="20">
        <v>1</v>
      </c>
      <c r="M169" s="20">
        <f t="shared" ref="M169" si="155">L169*5</f>
        <v>5</v>
      </c>
      <c r="N169" s="20">
        <v>6</v>
      </c>
      <c r="O169" s="45" t="s">
        <v>921</v>
      </c>
      <c r="P169" s="15">
        <v>1.0518000000000001</v>
      </c>
      <c r="Q169" s="21">
        <f t="shared" ref="Q169" si="156">P169*N169</f>
        <v>6.3108000000000004</v>
      </c>
      <c r="R169" s="20"/>
      <c r="S169" s="20"/>
    </row>
    <row r="170" spans="1:19" s="53" customFormat="1" x14ac:dyDescent="0.25">
      <c r="A170" s="51"/>
      <c r="B170" s="16">
        <f>ROW(B170) - ROW($B$7)</f>
        <v>163</v>
      </c>
      <c r="C170" s="22" t="s">
        <v>34</v>
      </c>
      <c r="D170" s="14" t="s">
        <v>200</v>
      </c>
      <c r="E170" s="14" t="s">
        <v>372</v>
      </c>
      <c r="F170" s="14" t="s">
        <v>404</v>
      </c>
      <c r="G170" s="14" t="s">
        <v>598</v>
      </c>
      <c r="H170" s="14" t="s">
        <v>626</v>
      </c>
      <c r="I170" s="20" t="s">
        <v>919</v>
      </c>
      <c r="J170" s="14" t="s">
        <v>821</v>
      </c>
      <c r="K170" s="14" t="s">
        <v>919</v>
      </c>
      <c r="L170" s="14">
        <v>1</v>
      </c>
      <c r="M170" s="14">
        <f>L170*5</f>
        <v>5</v>
      </c>
      <c r="N170" s="14">
        <v>10</v>
      </c>
      <c r="O170" s="45" t="s">
        <v>921</v>
      </c>
      <c r="P170" s="15">
        <v>0.17510000000000001</v>
      </c>
      <c r="Q170" s="15">
        <f>P170*N170</f>
        <v>1.7510000000000001</v>
      </c>
      <c r="R170" s="14"/>
      <c r="S170" s="52"/>
    </row>
    <row r="171" spans="1:19" s="53" customFormat="1" x14ac:dyDescent="0.25">
      <c r="A171" s="51"/>
      <c r="B171" s="17">
        <f t="shared" si="0"/>
        <v>164</v>
      </c>
      <c r="C171" s="23" t="s">
        <v>34</v>
      </c>
      <c r="D171" s="20" t="s">
        <v>201</v>
      </c>
      <c r="E171" s="20" t="s">
        <v>373</v>
      </c>
      <c r="F171" s="20" t="s">
        <v>440</v>
      </c>
      <c r="G171" s="20" t="s">
        <v>599</v>
      </c>
      <c r="H171" s="20" t="s">
        <v>656</v>
      </c>
      <c r="I171" s="20" t="s">
        <v>919</v>
      </c>
      <c r="J171" s="20" t="s">
        <v>822</v>
      </c>
      <c r="K171" s="14" t="s">
        <v>919</v>
      </c>
      <c r="L171" s="20">
        <v>1</v>
      </c>
      <c r="M171" s="20">
        <f t="shared" ref="M171" si="157">L171*5</f>
        <v>5</v>
      </c>
      <c r="N171" s="20">
        <v>10</v>
      </c>
      <c r="O171" s="45" t="s">
        <v>921</v>
      </c>
      <c r="P171" s="15">
        <v>0.34139999999999998</v>
      </c>
      <c r="Q171" s="21">
        <f t="shared" ref="Q171" si="158">P171*N171</f>
        <v>3.4139999999999997</v>
      </c>
      <c r="R171" s="20"/>
      <c r="S171" s="20"/>
    </row>
    <row r="172" spans="1:19" s="53" customFormat="1" ht="24" x14ac:dyDescent="0.25">
      <c r="A172" s="51"/>
      <c r="B172" s="16">
        <f>ROW(B172) - ROW($B$7)</f>
        <v>165</v>
      </c>
      <c r="C172" s="22" t="s">
        <v>34</v>
      </c>
      <c r="D172" s="14" t="s">
        <v>202</v>
      </c>
      <c r="E172" s="14" t="s">
        <v>374</v>
      </c>
      <c r="F172" s="14" t="s">
        <v>933</v>
      </c>
      <c r="G172" s="14" t="s">
        <v>600</v>
      </c>
      <c r="H172" s="14" t="s">
        <v>657</v>
      </c>
      <c r="I172" s="20" t="s">
        <v>919</v>
      </c>
      <c r="J172" s="14" t="s">
        <v>925</v>
      </c>
      <c r="K172" s="14" t="s">
        <v>919</v>
      </c>
      <c r="L172" s="14">
        <v>1</v>
      </c>
      <c r="M172" s="14">
        <f>L172*5</f>
        <v>5</v>
      </c>
      <c r="N172" s="14">
        <v>6</v>
      </c>
      <c r="O172" s="45" t="s">
        <v>921</v>
      </c>
      <c r="P172" s="15">
        <v>8.3531999999999993</v>
      </c>
      <c r="Q172" s="15">
        <f>P172*N172</f>
        <v>50.119199999999992</v>
      </c>
      <c r="R172" s="14"/>
      <c r="S172" s="52"/>
    </row>
    <row r="173" spans="1:19" s="53" customFormat="1" ht="24" x14ac:dyDescent="0.25">
      <c r="A173" s="51"/>
      <c r="B173" s="17">
        <f t="shared" si="0"/>
        <v>166</v>
      </c>
      <c r="C173" s="23" t="s">
        <v>35</v>
      </c>
      <c r="D173" s="20" t="s">
        <v>203</v>
      </c>
      <c r="E173" s="20" t="s">
        <v>375</v>
      </c>
      <c r="F173" s="20" t="s">
        <v>448</v>
      </c>
      <c r="G173" s="20" t="s">
        <v>601</v>
      </c>
      <c r="H173" s="20" t="s">
        <v>658</v>
      </c>
      <c r="I173" s="20" t="s">
        <v>919</v>
      </c>
      <c r="J173" s="20" t="s">
        <v>823</v>
      </c>
      <c r="K173" s="14" t="s">
        <v>919</v>
      </c>
      <c r="L173" s="20">
        <v>1</v>
      </c>
      <c r="M173" s="20">
        <f t="shared" ref="M173" si="159">L173*5</f>
        <v>5</v>
      </c>
      <c r="N173" s="20">
        <v>6</v>
      </c>
      <c r="O173" s="45" t="s">
        <v>921</v>
      </c>
      <c r="P173" s="15">
        <v>0.51929999999999998</v>
      </c>
      <c r="Q173" s="21">
        <f t="shared" ref="Q173" si="160">P173*N173</f>
        <v>3.1158000000000001</v>
      </c>
      <c r="R173" s="20"/>
      <c r="S173" s="20"/>
    </row>
    <row r="174" spans="1:19" s="53" customFormat="1" ht="24" x14ac:dyDescent="0.25">
      <c r="A174" s="51"/>
      <c r="B174" s="16">
        <f>ROW(B174) - ROW($B$7)</f>
        <v>167</v>
      </c>
      <c r="C174" s="22" t="s">
        <v>34</v>
      </c>
      <c r="D174" s="14" t="s">
        <v>204</v>
      </c>
      <c r="E174" s="14" t="s">
        <v>376</v>
      </c>
      <c r="F174" s="14" t="s">
        <v>449</v>
      </c>
      <c r="G174" s="14" t="s">
        <v>602</v>
      </c>
      <c r="H174" s="14" t="s">
        <v>658</v>
      </c>
      <c r="I174" s="20" t="s">
        <v>919</v>
      </c>
      <c r="J174" s="14" t="s">
        <v>824</v>
      </c>
      <c r="K174" s="14" t="s">
        <v>919</v>
      </c>
      <c r="L174" s="14">
        <v>1</v>
      </c>
      <c r="M174" s="14">
        <f>L174*5</f>
        <v>5</v>
      </c>
      <c r="N174" s="14">
        <v>6</v>
      </c>
      <c r="O174" s="45" t="s">
        <v>921</v>
      </c>
      <c r="P174" s="15">
        <v>0.70450000000000002</v>
      </c>
      <c r="Q174" s="15">
        <f>P174*N174</f>
        <v>4.2270000000000003</v>
      </c>
      <c r="R174" s="14"/>
      <c r="S174" s="52"/>
    </row>
    <row r="175" spans="1:19" s="53" customFormat="1" x14ac:dyDescent="0.25">
      <c r="A175" s="51"/>
      <c r="B175" s="17">
        <f t="shared" si="0"/>
        <v>168</v>
      </c>
      <c r="C175" s="23" t="s">
        <v>34</v>
      </c>
      <c r="D175" s="20" t="s">
        <v>205</v>
      </c>
      <c r="E175" s="20" t="s">
        <v>377</v>
      </c>
      <c r="F175" s="20" t="s">
        <v>450</v>
      </c>
      <c r="G175" s="20" t="s">
        <v>603</v>
      </c>
      <c r="H175" s="20" t="s">
        <v>659</v>
      </c>
      <c r="I175" s="20" t="s">
        <v>919</v>
      </c>
      <c r="J175" s="20" t="s">
        <v>825</v>
      </c>
      <c r="K175" s="14" t="s">
        <v>919</v>
      </c>
      <c r="L175" s="20">
        <v>1</v>
      </c>
      <c r="M175" s="20">
        <f t="shared" ref="M175" si="161">L175*5</f>
        <v>5</v>
      </c>
      <c r="N175" s="20">
        <v>6</v>
      </c>
      <c r="O175" s="45" t="s">
        <v>921</v>
      </c>
      <c r="P175" s="15">
        <v>1.3455999999999999</v>
      </c>
      <c r="Q175" s="21">
        <f t="shared" ref="Q175" si="162">P175*N175</f>
        <v>8.073599999999999</v>
      </c>
      <c r="R175" s="20"/>
      <c r="S175" s="20"/>
    </row>
    <row r="176" spans="1:19" s="53" customFormat="1" ht="24" x14ac:dyDescent="0.25">
      <c r="A176" s="51"/>
      <c r="B176" s="16">
        <f>ROW(B176) - ROW($B$7)</f>
        <v>169</v>
      </c>
      <c r="C176" s="22" t="s">
        <v>34</v>
      </c>
      <c r="D176" s="14" t="s">
        <v>206</v>
      </c>
      <c r="E176" s="14" t="s">
        <v>378</v>
      </c>
      <c r="F176" s="14" t="s">
        <v>451</v>
      </c>
      <c r="G176" s="14" t="s">
        <v>604</v>
      </c>
      <c r="H176" s="14" t="s">
        <v>660</v>
      </c>
      <c r="I176" s="20" t="s">
        <v>919</v>
      </c>
      <c r="J176" s="14" t="s">
        <v>919</v>
      </c>
      <c r="K176" s="14" t="s">
        <v>919</v>
      </c>
      <c r="L176" s="14">
        <v>1</v>
      </c>
      <c r="M176" s="14">
        <f>L176*5</f>
        <v>5</v>
      </c>
      <c r="N176" s="14">
        <v>6</v>
      </c>
      <c r="O176" s="45" t="s">
        <v>924</v>
      </c>
      <c r="P176" s="15">
        <v>2.3786999999999998</v>
      </c>
      <c r="Q176" s="15">
        <f>P176*N176</f>
        <v>14.272199999999998</v>
      </c>
      <c r="R176" s="14"/>
      <c r="S176" s="52"/>
    </row>
    <row r="177" spans="1:19" s="53" customFormat="1" ht="24" x14ac:dyDescent="0.25">
      <c r="A177" s="51"/>
      <c r="B177" s="17">
        <f t="shared" si="0"/>
        <v>170</v>
      </c>
      <c r="C177" s="22" t="s">
        <v>34</v>
      </c>
      <c r="D177" s="20" t="s">
        <v>207</v>
      </c>
      <c r="E177" s="20" t="s">
        <v>379</v>
      </c>
      <c r="F177" s="20" t="s">
        <v>933</v>
      </c>
      <c r="G177" s="20" t="s">
        <v>452</v>
      </c>
      <c r="H177" s="20" t="s">
        <v>614</v>
      </c>
      <c r="I177" s="20" t="s">
        <v>919</v>
      </c>
      <c r="J177" s="20" t="s">
        <v>826</v>
      </c>
      <c r="K177" s="14" t="s">
        <v>919</v>
      </c>
      <c r="L177" s="20">
        <v>1</v>
      </c>
      <c r="M177" s="20">
        <f t="shared" ref="M177" si="163">L177*5</f>
        <v>5</v>
      </c>
      <c r="N177" s="20">
        <v>6</v>
      </c>
      <c r="O177" s="45" t="s">
        <v>921</v>
      </c>
      <c r="P177" s="15">
        <v>3.4845000000000002</v>
      </c>
      <c r="Q177" s="21">
        <f t="shared" ref="Q177" si="164">P177*N177</f>
        <v>20.907</v>
      </c>
      <c r="R177" s="20"/>
      <c r="S177" s="20"/>
    </row>
    <row r="178" spans="1:19" s="53" customFormat="1" x14ac:dyDescent="0.25">
      <c r="A178" s="51"/>
      <c r="B178" s="16">
        <f>ROW(B178) - ROW($B$7)</f>
        <v>171</v>
      </c>
      <c r="C178" s="22" t="s">
        <v>34</v>
      </c>
      <c r="D178" s="14" t="s">
        <v>208</v>
      </c>
      <c r="E178" s="14" t="s">
        <v>380</v>
      </c>
      <c r="F178" s="14" t="s">
        <v>453</v>
      </c>
      <c r="G178" s="14" t="s">
        <v>605</v>
      </c>
      <c r="H178" s="14" t="s">
        <v>652</v>
      </c>
      <c r="I178" s="20" t="s">
        <v>919</v>
      </c>
      <c r="J178" s="14" t="s">
        <v>827</v>
      </c>
      <c r="K178" s="14" t="s">
        <v>919</v>
      </c>
      <c r="L178" s="14">
        <v>1</v>
      </c>
      <c r="M178" s="14">
        <f>L178*5</f>
        <v>5</v>
      </c>
      <c r="N178" s="14">
        <v>6</v>
      </c>
      <c r="O178" s="45" t="s">
        <v>921</v>
      </c>
      <c r="P178" s="15">
        <v>0.39250000000000002</v>
      </c>
      <c r="Q178" s="15">
        <f>P178*N178</f>
        <v>2.355</v>
      </c>
      <c r="R178" s="14"/>
      <c r="S178" s="52"/>
    </row>
    <row r="179" spans="1:19" s="53" customFormat="1" x14ac:dyDescent="0.25">
      <c r="A179" s="51"/>
      <c r="B179" s="17">
        <f t="shared" si="0"/>
        <v>172</v>
      </c>
      <c r="C179" s="23" t="s">
        <v>34</v>
      </c>
      <c r="D179" s="20" t="s">
        <v>209</v>
      </c>
      <c r="E179" s="20" t="s">
        <v>381</v>
      </c>
      <c r="F179" s="20" t="s">
        <v>454</v>
      </c>
      <c r="G179" s="20" t="s">
        <v>606</v>
      </c>
      <c r="H179" s="20" t="s">
        <v>652</v>
      </c>
      <c r="I179" s="20" t="s">
        <v>919</v>
      </c>
      <c r="J179" s="20" t="s">
        <v>828</v>
      </c>
      <c r="K179" s="14" t="s">
        <v>919</v>
      </c>
      <c r="L179" s="20">
        <v>1</v>
      </c>
      <c r="M179" s="20">
        <f t="shared" ref="M179" si="165">L179*5</f>
        <v>5</v>
      </c>
      <c r="N179" s="20">
        <v>6</v>
      </c>
      <c r="O179" s="45" t="s">
        <v>921</v>
      </c>
      <c r="P179" s="15">
        <v>1.3267</v>
      </c>
      <c r="Q179" s="21">
        <f t="shared" ref="Q179" si="166">P179*N179</f>
        <v>7.9602000000000004</v>
      </c>
      <c r="R179" s="20"/>
      <c r="S179" s="20"/>
    </row>
    <row r="180" spans="1:19" s="53" customFormat="1" x14ac:dyDescent="0.25">
      <c r="A180" s="51"/>
      <c r="B180" s="16">
        <f>ROW(B180) - ROW($B$7)</f>
        <v>173</v>
      </c>
      <c r="C180" s="22" t="s">
        <v>34</v>
      </c>
      <c r="D180" s="14" t="s">
        <v>210</v>
      </c>
      <c r="E180" s="14" t="s">
        <v>382</v>
      </c>
      <c r="F180" s="14" t="s">
        <v>455</v>
      </c>
      <c r="G180" s="14" t="s">
        <v>607</v>
      </c>
      <c r="H180" s="14" t="s">
        <v>661</v>
      </c>
      <c r="I180" s="20" t="s">
        <v>919</v>
      </c>
      <c r="J180" s="14" t="s">
        <v>829</v>
      </c>
      <c r="K180" s="14" t="s">
        <v>919</v>
      </c>
      <c r="L180" s="14">
        <v>1</v>
      </c>
      <c r="M180" s="14">
        <f>L180*5</f>
        <v>5</v>
      </c>
      <c r="N180" s="14">
        <v>6</v>
      </c>
      <c r="O180" s="45" t="s">
        <v>921</v>
      </c>
      <c r="P180" s="15">
        <v>1.6006</v>
      </c>
      <c r="Q180" s="15">
        <f>P180*N180</f>
        <v>9.6036000000000001</v>
      </c>
      <c r="R180" s="14"/>
      <c r="S180" s="52"/>
    </row>
    <row r="181" spans="1:19" s="53" customFormat="1" x14ac:dyDescent="0.25">
      <c r="A181" s="51"/>
      <c r="B181" s="17">
        <f t="shared" si="0"/>
        <v>174</v>
      </c>
      <c r="C181" s="23" t="s">
        <v>34</v>
      </c>
      <c r="D181" s="20" t="s">
        <v>211</v>
      </c>
      <c r="E181" s="20" t="s">
        <v>383</v>
      </c>
      <c r="F181" s="20" t="s">
        <v>456</v>
      </c>
      <c r="G181" s="20" t="s">
        <v>608</v>
      </c>
      <c r="H181" s="20" t="s">
        <v>662</v>
      </c>
      <c r="I181" s="20" t="s">
        <v>919</v>
      </c>
      <c r="J181" s="20" t="s">
        <v>830</v>
      </c>
      <c r="K181" s="14" t="s">
        <v>919</v>
      </c>
      <c r="L181" s="20">
        <v>1</v>
      </c>
      <c r="M181" s="20">
        <f t="shared" ref="M181" si="167">L181*5</f>
        <v>5</v>
      </c>
      <c r="N181" s="20">
        <v>6</v>
      </c>
      <c r="O181" s="45" t="s">
        <v>921</v>
      </c>
      <c r="P181" s="15">
        <v>0.98160000000000003</v>
      </c>
      <c r="Q181" s="21">
        <f t="shared" ref="Q181" si="168">P181*N181</f>
        <v>5.8895999999999997</v>
      </c>
      <c r="R181" s="20"/>
      <c r="S181" s="20"/>
    </row>
    <row r="182" spans="1:19" s="53" customFormat="1" ht="24" x14ac:dyDescent="0.25">
      <c r="A182" s="51"/>
      <c r="B182" s="16">
        <f>ROW(B182) - ROW($B$7)</f>
        <v>175</v>
      </c>
      <c r="C182" s="22" t="s">
        <v>36</v>
      </c>
      <c r="D182" s="14" t="s">
        <v>212</v>
      </c>
      <c r="E182" s="14" t="s">
        <v>384</v>
      </c>
      <c r="F182" s="14" t="s">
        <v>457</v>
      </c>
      <c r="G182" s="14" t="s">
        <v>609</v>
      </c>
      <c r="H182" s="14" t="s">
        <v>663</v>
      </c>
      <c r="I182" s="20" t="s">
        <v>919</v>
      </c>
      <c r="J182" s="14" t="s">
        <v>831</v>
      </c>
      <c r="K182" s="14" t="s">
        <v>904</v>
      </c>
      <c r="L182" s="14">
        <v>1</v>
      </c>
      <c r="M182" s="14">
        <f>L182*5</f>
        <v>5</v>
      </c>
      <c r="N182" s="14">
        <v>10</v>
      </c>
      <c r="O182" s="45" t="s">
        <v>921</v>
      </c>
      <c r="P182" s="15">
        <v>0.21490000000000001</v>
      </c>
      <c r="Q182" s="15">
        <f>P182*N182</f>
        <v>2.149</v>
      </c>
      <c r="R182" s="14"/>
      <c r="S182" s="52"/>
    </row>
    <row r="183" spans="1:19" s="53" customFormat="1" ht="24" x14ac:dyDescent="0.25">
      <c r="A183" s="51"/>
      <c r="B183" s="17">
        <f t="shared" si="0"/>
        <v>176</v>
      </c>
      <c r="C183" s="23" t="s">
        <v>36</v>
      </c>
      <c r="D183" s="20" t="s">
        <v>213</v>
      </c>
      <c r="E183" s="20" t="s">
        <v>385</v>
      </c>
      <c r="F183" s="20" t="s">
        <v>458</v>
      </c>
      <c r="G183" s="20" t="s">
        <v>610</v>
      </c>
      <c r="H183" s="20" t="s">
        <v>664</v>
      </c>
      <c r="I183" s="20" t="s">
        <v>919</v>
      </c>
      <c r="J183" s="20" t="s">
        <v>832</v>
      </c>
      <c r="K183" s="20" t="s">
        <v>905</v>
      </c>
      <c r="L183" s="20">
        <v>1</v>
      </c>
      <c r="M183" s="20">
        <f t="shared" ref="M183" si="169">L183*5</f>
        <v>5</v>
      </c>
      <c r="N183" s="20">
        <v>10</v>
      </c>
      <c r="O183" s="45" t="s">
        <v>921</v>
      </c>
      <c r="P183" s="15">
        <v>0.15060000000000001</v>
      </c>
      <c r="Q183" s="21">
        <f t="shared" ref="Q183" si="170">P183*N183</f>
        <v>1.5060000000000002</v>
      </c>
      <c r="R183" s="20"/>
      <c r="S183" s="20"/>
    </row>
    <row r="184" spans="1:19" s="53" customFormat="1" ht="36" x14ac:dyDescent="0.25">
      <c r="A184" s="51"/>
      <c r="B184" s="16">
        <f>ROW(B184) - ROW($B$7)</f>
        <v>177</v>
      </c>
      <c r="C184" s="23" t="s">
        <v>36</v>
      </c>
      <c r="D184" s="14" t="s">
        <v>214</v>
      </c>
      <c r="E184" s="14" t="s">
        <v>386</v>
      </c>
      <c r="F184" s="14" t="s">
        <v>933</v>
      </c>
      <c r="G184" s="14" t="s">
        <v>611</v>
      </c>
      <c r="H184" s="14" t="s">
        <v>665</v>
      </c>
      <c r="I184" s="20" t="s">
        <v>919</v>
      </c>
      <c r="J184" s="14" t="s">
        <v>833</v>
      </c>
      <c r="K184" s="14" t="s">
        <v>906</v>
      </c>
      <c r="L184" s="14">
        <v>1</v>
      </c>
      <c r="M184" s="14">
        <f>L184*5</f>
        <v>5</v>
      </c>
      <c r="N184" s="14">
        <v>6</v>
      </c>
      <c r="O184" s="45" t="s">
        <v>921</v>
      </c>
      <c r="P184" s="15">
        <v>0.1893</v>
      </c>
      <c r="Q184" s="15">
        <f>P184*N184</f>
        <v>1.1357999999999999</v>
      </c>
      <c r="R184" s="14"/>
      <c r="S184" s="52"/>
    </row>
    <row r="185" spans="1:19" s="53" customFormat="1" ht="36.75" thickBot="1" x14ac:dyDescent="0.3">
      <c r="A185" s="51"/>
      <c r="B185" s="16">
        <f t="shared" ref="B185" si="171">ROW(B185) - ROW($B$7)</f>
        <v>178</v>
      </c>
      <c r="C185" s="23" t="s">
        <v>930</v>
      </c>
      <c r="D185" s="14" t="s">
        <v>931</v>
      </c>
      <c r="E185" s="14" t="s">
        <v>935</v>
      </c>
      <c r="F185" s="14" t="s">
        <v>933</v>
      </c>
      <c r="G185" s="14" t="s">
        <v>932</v>
      </c>
      <c r="H185" s="14" t="s">
        <v>934</v>
      </c>
      <c r="I185" s="14" t="s">
        <v>919</v>
      </c>
      <c r="J185" s="14" t="s">
        <v>919</v>
      </c>
      <c r="K185" s="14" t="s">
        <v>919</v>
      </c>
      <c r="L185" s="14">
        <v>1</v>
      </c>
      <c r="M185" s="14">
        <f>L185*5</f>
        <v>5</v>
      </c>
      <c r="N185" s="14"/>
      <c r="O185" s="45"/>
      <c r="P185" s="15"/>
      <c r="Q185" s="15"/>
      <c r="R185" s="14"/>
      <c r="S185" s="54" t="s">
        <v>936</v>
      </c>
    </row>
    <row r="186" spans="1:19" ht="19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57" t="s">
        <v>3</v>
      </c>
      <c r="O186" s="58"/>
      <c r="P186" s="58"/>
      <c r="Q186" s="18">
        <f>SUM(Q8:Q185)</f>
        <v>607.79399999999998</v>
      </c>
      <c r="R186" s="1"/>
      <c r="S186" s="1"/>
    </row>
    <row r="187" spans="1:19" ht="19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57" t="s">
        <v>4</v>
      </c>
      <c r="O187" s="58"/>
      <c r="P187" s="58"/>
      <c r="Q187" s="19">
        <f>Q186/5</f>
        <v>121.55879999999999</v>
      </c>
      <c r="R187" s="1"/>
      <c r="S187" s="1"/>
    </row>
    <row r="199" spans="13:13" x14ac:dyDescent="0.25">
      <c r="M199" s="38"/>
    </row>
  </sheetData>
  <mergeCells count="4">
    <mergeCell ref="K1:S1"/>
    <mergeCell ref="N186:P186"/>
    <mergeCell ref="N187:P187"/>
    <mergeCell ref="S2:S6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6" r:id="rId9"/>
    <hyperlink ref="O17" r:id="rId10"/>
    <hyperlink ref="O18" r:id="rId11"/>
    <hyperlink ref="O19" r:id="rId12"/>
    <hyperlink ref="O20" r:id="rId13"/>
    <hyperlink ref="O21" r:id="rId14"/>
    <hyperlink ref="O22" r:id="rId15"/>
    <hyperlink ref="O23" r:id="rId16"/>
    <hyperlink ref="O24" r:id="rId17"/>
    <hyperlink ref="O25" r:id="rId18"/>
    <hyperlink ref="O26" r:id="rId19"/>
    <hyperlink ref="O27" r:id="rId20"/>
    <hyperlink ref="O28" r:id="rId21"/>
    <hyperlink ref="O29" r:id="rId22"/>
    <hyperlink ref="O30" r:id="rId23"/>
    <hyperlink ref="O31" r:id="rId24"/>
    <hyperlink ref="O32" r:id="rId25"/>
    <hyperlink ref="O34" r:id="rId26"/>
    <hyperlink ref="O35" r:id="rId27"/>
    <hyperlink ref="O36" r:id="rId28"/>
    <hyperlink ref="O37" r:id="rId29"/>
    <hyperlink ref="O38" r:id="rId30"/>
    <hyperlink ref="O39" r:id="rId31"/>
    <hyperlink ref="O40" r:id="rId32"/>
    <hyperlink ref="O41" r:id="rId33"/>
    <hyperlink ref="O42" r:id="rId34"/>
    <hyperlink ref="O43" r:id="rId35"/>
    <hyperlink ref="O44" r:id="rId36"/>
    <hyperlink ref="O45" r:id="rId37"/>
    <hyperlink ref="O46" r:id="rId38"/>
    <hyperlink ref="O47" r:id="rId39"/>
    <hyperlink ref="O48" r:id="rId40"/>
    <hyperlink ref="O49" r:id="rId41"/>
    <hyperlink ref="O50" r:id="rId42"/>
    <hyperlink ref="O51" r:id="rId43"/>
    <hyperlink ref="O52" r:id="rId44"/>
    <hyperlink ref="O53" r:id="rId45"/>
    <hyperlink ref="O54" r:id="rId46"/>
    <hyperlink ref="O55" r:id="rId47"/>
    <hyperlink ref="O56" r:id="rId48"/>
    <hyperlink ref="O57" r:id="rId49"/>
    <hyperlink ref="O58" r:id="rId50"/>
    <hyperlink ref="O59" r:id="rId51"/>
    <hyperlink ref="O60" r:id="rId52"/>
    <hyperlink ref="O61" r:id="rId53"/>
    <hyperlink ref="O62" r:id="rId54"/>
    <hyperlink ref="O63" r:id="rId55"/>
    <hyperlink ref="O64" r:id="rId56"/>
    <hyperlink ref="O65" r:id="rId57"/>
    <hyperlink ref="O66" r:id="rId58"/>
    <hyperlink ref="O67" r:id="rId59"/>
    <hyperlink ref="O68" r:id="rId60"/>
    <hyperlink ref="O70" r:id="rId61"/>
    <hyperlink ref="O71" r:id="rId62"/>
    <hyperlink ref="O72" r:id="rId63"/>
    <hyperlink ref="O73" r:id="rId64"/>
    <hyperlink ref="O74" r:id="rId65"/>
    <hyperlink ref="O75" r:id="rId66"/>
    <hyperlink ref="O76" r:id="rId67"/>
    <hyperlink ref="O77" r:id="rId68"/>
    <hyperlink ref="O78" r:id="rId69"/>
    <hyperlink ref="O79" r:id="rId70"/>
    <hyperlink ref="O80" r:id="rId71"/>
    <hyperlink ref="O81" r:id="rId72"/>
    <hyperlink ref="O82" r:id="rId73"/>
    <hyperlink ref="O83" r:id="rId74"/>
    <hyperlink ref="O84" r:id="rId75"/>
    <hyperlink ref="O85" r:id="rId76"/>
    <hyperlink ref="O86" r:id="rId77"/>
    <hyperlink ref="O87" r:id="rId78"/>
    <hyperlink ref="O88" r:id="rId79"/>
    <hyperlink ref="O89" r:id="rId80"/>
    <hyperlink ref="O90" r:id="rId81"/>
    <hyperlink ref="O91" r:id="rId82"/>
    <hyperlink ref="O92" r:id="rId83"/>
    <hyperlink ref="O93" r:id="rId84"/>
    <hyperlink ref="O94" r:id="rId85"/>
    <hyperlink ref="O96" r:id="rId86"/>
    <hyperlink ref="O97" r:id="rId87"/>
    <hyperlink ref="O98" r:id="rId88"/>
    <hyperlink ref="O99" r:id="rId89"/>
    <hyperlink ref="O100" r:id="rId90"/>
    <hyperlink ref="O101" r:id="rId91"/>
    <hyperlink ref="O102" r:id="rId92"/>
    <hyperlink ref="O103" r:id="rId93"/>
    <hyperlink ref="O104" r:id="rId94"/>
    <hyperlink ref="O105" r:id="rId95"/>
    <hyperlink ref="O106" r:id="rId96"/>
    <hyperlink ref="O107" r:id="rId97"/>
    <hyperlink ref="O108" r:id="rId98"/>
    <hyperlink ref="O109" r:id="rId99"/>
    <hyperlink ref="O110" r:id="rId100"/>
    <hyperlink ref="O111" r:id="rId101"/>
    <hyperlink ref="O112" r:id="rId102"/>
    <hyperlink ref="O114" r:id="rId103"/>
    <hyperlink ref="O115" r:id="rId104"/>
    <hyperlink ref="O116" r:id="rId105"/>
    <hyperlink ref="O117" r:id="rId106"/>
    <hyperlink ref="O118" r:id="rId107"/>
    <hyperlink ref="O120" r:id="rId108"/>
    <hyperlink ref="O121" r:id="rId109"/>
    <hyperlink ref="O122" r:id="rId110"/>
    <hyperlink ref="O123" r:id="rId111"/>
    <hyperlink ref="O124" r:id="rId112"/>
    <hyperlink ref="O125" r:id="rId113"/>
    <hyperlink ref="O126" r:id="rId114"/>
    <hyperlink ref="O127" r:id="rId115"/>
    <hyperlink ref="O128" r:id="rId116"/>
    <hyperlink ref="O130" r:id="rId117"/>
    <hyperlink ref="O131" r:id="rId118"/>
    <hyperlink ref="O132" r:id="rId119"/>
    <hyperlink ref="O133" r:id="rId120"/>
    <hyperlink ref="O134" r:id="rId121"/>
    <hyperlink ref="O135" r:id="rId122"/>
    <hyperlink ref="O136" r:id="rId123"/>
    <hyperlink ref="O137" r:id="rId124"/>
    <hyperlink ref="O138" r:id="rId125"/>
    <hyperlink ref="O139" r:id="rId126"/>
    <hyperlink ref="O140" r:id="rId127"/>
    <hyperlink ref="O141" r:id="rId128"/>
    <hyperlink ref="O142" r:id="rId129"/>
    <hyperlink ref="O143" r:id="rId130"/>
    <hyperlink ref="O144" r:id="rId131"/>
    <hyperlink ref="O145" r:id="rId132"/>
    <hyperlink ref="O146" r:id="rId133"/>
    <hyperlink ref="O147" r:id="rId134"/>
    <hyperlink ref="O149" r:id="rId135"/>
    <hyperlink ref="O150" r:id="rId136"/>
    <hyperlink ref="O151" r:id="rId137"/>
    <hyperlink ref="O152" r:id="rId138"/>
    <hyperlink ref="O153" r:id="rId139"/>
    <hyperlink ref="O154" r:id="rId140"/>
    <hyperlink ref="O155" r:id="rId141"/>
    <hyperlink ref="O156" r:id="rId142"/>
    <hyperlink ref="O157" r:id="rId143"/>
    <hyperlink ref="O158" r:id="rId144"/>
    <hyperlink ref="O159" r:id="rId145"/>
    <hyperlink ref="O160" r:id="rId146"/>
    <hyperlink ref="O161" r:id="rId147"/>
    <hyperlink ref="O162" r:id="rId148"/>
    <hyperlink ref="O163" r:id="rId149"/>
    <hyperlink ref="O164" r:id="rId150"/>
    <hyperlink ref="O165" r:id="rId151"/>
    <hyperlink ref="O166" r:id="rId152"/>
    <hyperlink ref="O167" r:id="rId153"/>
    <hyperlink ref="O168" r:id="rId154"/>
    <hyperlink ref="O169" r:id="rId155"/>
    <hyperlink ref="O170" r:id="rId156"/>
    <hyperlink ref="O171" r:id="rId157"/>
    <hyperlink ref="O173" r:id="rId158"/>
    <hyperlink ref="O174" r:id="rId159"/>
    <hyperlink ref="O175" r:id="rId160"/>
    <hyperlink ref="O177" r:id="rId161"/>
    <hyperlink ref="O178" r:id="rId162"/>
    <hyperlink ref="O179" r:id="rId163"/>
    <hyperlink ref="O180" r:id="rId164"/>
    <hyperlink ref="O181" r:id="rId165"/>
    <hyperlink ref="O182" r:id="rId166"/>
    <hyperlink ref="O183" r:id="rId167"/>
    <hyperlink ref="O184" r:id="rId168"/>
    <hyperlink ref="O176" r:id="rId169"/>
    <hyperlink ref="O172" r:id="rId170"/>
    <hyperlink ref="O113" r:id="rId171"/>
    <hyperlink ref="O148" r:id="rId172"/>
  </hyperlinks>
  <pageMargins left="0.7" right="0.7" top="0.75" bottom="0.75" header="0.3" footer="0.3"/>
  <pageSetup paperSize="9" orientation="portrait" r:id="rId173"/>
  <drawing r:id="rId1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2024-05-07T08:10:05Z</dcterms:modified>
</cp:coreProperties>
</file>