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MVP-Dash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80" i="1" l="1"/>
  <c r="B179" i="1" l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<sst xmlns="http://schemas.openxmlformats.org/spreadsheetml/2006/main" count="1256" uniqueCount="746">
  <si>
    <t>#</t>
  </si>
  <si>
    <t>Item Type</t>
  </si>
  <si>
    <t>RF Antennas</t>
  </si>
  <si>
    <t>LNA</t>
  </si>
  <si>
    <t>Antenna</t>
  </si>
  <si>
    <t>Capacitor</t>
  </si>
  <si>
    <t>Capacitors</t>
  </si>
  <si>
    <t>Diode</t>
  </si>
  <si>
    <t>Zener Diode</t>
  </si>
  <si>
    <t>TVS Diode</t>
  </si>
  <si>
    <t>Fuse</t>
  </si>
  <si>
    <t>Ferrite Bead</t>
  </si>
  <si>
    <t>Male Header</t>
  </si>
  <si>
    <t>Connector</t>
  </si>
  <si>
    <t>Pogo Connector</t>
  </si>
  <si>
    <t>SD Card Connector</t>
  </si>
  <si>
    <t>FFC / FPC Connector</t>
  </si>
  <si>
    <t>Type-C SMD USB Connector</t>
  </si>
  <si>
    <t>Battery Connector</t>
  </si>
  <si>
    <t>Automobile Connector</t>
  </si>
  <si>
    <t>Power Relays</t>
  </si>
  <si>
    <t>Inductor</t>
  </si>
  <si>
    <t>Common Mode Filter</t>
  </si>
  <si>
    <t>LED</t>
  </si>
  <si>
    <t>Transistor</t>
  </si>
  <si>
    <t>MOSFET</t>
  </si>
  <si>
    <t>Resistor</t>
  </si>
  <si>
    <t>Resistors</t>
  </si>
  <si>
    <t>Potentiometer</t>
  </si>
  <si>
    <t>Switch</t>
  </si>
  <si>
    <t>IC</t>
  </si>
  <si>
    <t>USB Interface ICs</t>
  </si>
  <si>
    <t>Crystal</t>
  </si>
  <si>
    <t>Designator</t>
  </si>
  <si>
    <t>Ant1</t>
  </si>
  <si>
    <t>Ant2</t>
  </si>
  <si>
    <t>Ant3</t>
  </si>
  <si>
    <t>C1, C2, C7, C10, C23, C26, C305, C306</t>
  </si>
  <si>
    <t>C3, C5, C8, C11, C12, C13, C19, C22, C24, C25, C27, C31, C264, C265, C301</t>
  </si>
  <si>
    <t>C4</t>
  </si>
  <si>
    <t>C6, C9</t>
  </si>
  <si>
    <t>C14, C21</t>
  </si>
  <si>
    <t>C15, C28</t>
  </si>
  <si>
    <t>C16</t>
  </si>
  <si>
    <t>C17, C18, C29, C30, C43, C81, C193, C288</t>
  </si>
  <si>
    <t>C20, C83, C191, C192, C286, C287</t>
  </si>
  <si>
    <t>C32, C33, C38, C39, C45, C46, C52, C53, C55, C56, C66, C77, C80, C196</t>
  </si>
  <si>
    <t>C34, C35, C44, C47, C49, C54, C82, C88, C194, C203, C206, C207, C208, C209, C210, C211, C212, C213, C214, C215, C217, C218, C219, C220, C221, C222, C223, C224, C225, C226, C227, C228, C229, C232, C233, C234, C235, C236, C237, C239, C240, C241, C242, C243, C244, C245, C246, C247, C248, C249, C250, C253, C254, C256, C257, C258, C261, C263, C271, C276, C279, C289, C303, C307, C314, C315</t>
  </si>
  <si>
    <t>C36, C37, C50, C51, C78, C79, C84, C85, C86, C95, C96, C98, C99, C100, C101, C102, C103, C104, C197, C198, C216</t>
  </si>
  <si>
    <t>C40, C41</t>
  </si>
  <si>
    <t>C42, C87, C255, C259</t>
  </si>
  <si>
    <t>C48, C57, C59, C60, C62, C63, C64, C65, C67, C68, C69, C71, C72, C73, C74, C75, C76, C119, C120, C121, C122, C132, C152, C153, C166, C167, C169, C173, C175, C176, C177, C183, C185, C188, C190, C204, C205, C272, C274, C281, C290, C295</t>
  </si>
  <si>
    <t>C58, C61, C252</t>
  </si>
  <si>
    <t>C70, C92, C93, C94, C112, C113, C114, C115, C117, C139, C142, C148, C149, C182, C184</t>
  </si>
  <si>
    <t>C89, C90, C91, C108, C109, C110, C111, C124, C125, C126, C127, C128, C129, C130, C131, C133, C134, C135, C136, C137, C138, C140, C141, C143, C144, C145, C146, C147, C150, C151, C154, C155, C164, C165, C168, C170, C171, C172, C174, C178, C179, C180, C181, C186, C187, C189, C251, C282, C283, C284, C285, C291, C292, C293, C294</t>
  </si>
  <si>
    <t>C97</t>
  </si>
  <si>
    <t>C105, C106, C107, C116, C199, C200, C201, C202, C230, C231, C260, C270, C278</t>
  </si>
  <si>
    <t>C118, C123</t>
  </si>
  <si>
    <t>C156, C157, C158, C159, C160, C161, C162, C163, C195</t>
  </si>
  <si>
    <t>C238</t>
  </si>
  <si>
    <t>C262, C266, C297</t>
  </si>
  <si>
    <t>C267</t>
  </si>
  <si>
    <t>C268, C269, C296</t>
  </si>
  <si>
    <t>C273, C275</t>
  </si>
  <si>
    <t>C277</t>
  </si>
  <si>
    <t>C280</t>
  </si>
  <si>
    <t>C298</t>
  </si>
  <si>
    <t>C299</t>
  </si>
  <si>
    <t>C300</t>
  </si>
  <si>
    <t>C302</t>
  </si>
  <si>
    <t>C304</t>
  </si>
  <si>
    <t>C308</t>
  </si>
  <si>
    <t>C309</t>
  </si>
  <si>
    <t>C310, C311</t>
  </si>
  <si>
    <t>C312, C313</t>
  </si>
  <si>
    <t>D1</t>
  </si>
  <si>
    <t>D2, D3, D6, D7, D8, D9, D10, D11, D31</t>
  </si>
  <si>
    <t>D4</t>
  </si>
  <si>
    <t>D5, D24</t>
  </si>
  <si>
    <t>D12, D17, D29, D30</t>
  </si>
  <si>
    <t>D13, D33</t>
  </si>
  <si>
    <t>D14, D15, D16, D18</t>
  </si>
  <si>
    <t>D19</t>
  </si>
  <si>
    <t>D20, D21, D22, D23, D25, D26, D27, D28</t>
  </si>
  <si>
    <t>D32</t>
  </si>
  <si>
    <t>D34</t>
  </si>
  <si>
    <t>D35</t>
  </si>
  <si>
    <t>D36</t>
  </si>
  <si>
    <t>D37, D38, D39, D40, D41</t>
  </si>
  <si>
    <t>F1</t>
  </si>
  <si>
    <t>FB1</t>
  </si>
  <si>
    <t>FB2</t>
  </si>
  <si>
    <t>FB3, FB4</t>
  </si>
  <si>
    <t>J1, 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</si>
  <si>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</si>
  <si>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</si>
  <si>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</si>
  <si>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</si>
  <si>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</si>
  <si>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</si>
  <si>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</si>
  <si>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</si>
  <si>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</si>
  <si>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K1</t>
  </si>
  <si>
    <t>L1</t>
  </si>
  <si>
    <t>L2, L3</t>
  </si>
  <si>
    <t>L4, L5, L6, L7, L8</t>
  </si>
  <si>
    <t>L9</t>
  </si>
  <si>
    <t>L10</t>
  </si>
  <si>
    <t>L11</t>
  </si>
  <si>
    <t>L12</t>
  </si>
  <si>
    <t>L13</t>
  </si>
  <si>
    <t>L14</t>
  </si>
  <si>
    <t>LED1</t>
  </si>
  <si>
    <t>LED2, LED6, LED7</t>
  </si>
  <si>
    <t>LED3, LED8, LED9</t>
  </si>
  <si>
    <t>LED4, LED5</t>
  </si>
  <si>
    <t>LED10, LED11</t>
  </si>
  <si>
    <t>Q1, Q2</t>
  </si>
  <si>
    <t>Q3, Q4, Q5, Q6</t>
  </si>
  <si>
    <t>R1, R123, R189, R205, R206, R207, R208, R213, R214, R215, R216, R233</t>
  </si>
  <si>
    <t>R2</t>
  </si>
  <si>
    <t>R3</t>
  </si>
  <si>
    <t>R4, R5, R14, R17, R23, R30, R31, R39, R42, R52, R59, R60, R61, R62, R63, R64, R65, R66, R84, R89, R94, R97, R105, R106, R107, R108, R109, R117, R118, R119, R120, R121, R131, R132, R143, R152, R153, R163, R165, R167, R178, R198, R200, R204, R209, R210, R211, R212, R217, R218, R219, R220, R221, R222, R223, R228, R229, R230, R231, R232, R234</t>
  </si>
  <si>
    <t>R6, R50, R85, R90, R95, R99, R126, R164, R186</t>
  </si>
  <si>
    <t>R7, R15</t>
  </si>
  <si>
    <t>R8, R16</t>
  </si>
  <si>
    <t>R9</t>
  </si>
  <si>
    <t>R10</t>
  </si>
  <si>
    <t>R11</t>
  </si>
  <si>
    <t>R12, R13</t>
  </si>
  <si>
    <t>R18, R19, R29, R32, R36, R91, R92, R93, R96, R187</t>
  </si>
  <si>
    <t>R20</t>
  </si>
  <si>
    <t>R21</t>
  </si>
  <si>
    <t>R22, R24, R25, R26, R35, R41, R53, R54, R55, R98, R110, R111, R112, R113, R114, R115, R144, R145, R146, R147, R148, R149, R159, R160, R161, R162</t>
  </si>
  <si>
    <t>R27</t>
  </si>
  <si>
    <t>R28</t>
  </si>
  <si>
    <t>R33, R37, R45, R56, R104, R133, R140, R188, R190, R191</t>
  </si>
  <si>
    <t>R34</t>
  </si>
  <si>
    <t>R38</t>
  </si>
  <si>
    <t>R40, R44, R58, R68</t>
  </si>
  <si>
    <t>R43</t>
  </si>
  <si>
    <t>R46, R47, R48, R49, R69, R70, R80, R81, R82, R83</t>
  </si>
  <si>
    <t>R51, R166</t>
  </si>
  <si>
    <t>R57</t>
  </si>
  <si>
    <t>R67</t>
  </si>
  <si>
    <t>R71, R72, R73, R74, R75, R76, R77, R78, R87, R88</t>
  </si>
  <si>
    <t>R79</t>
  </si>
  <si>
    <t>R86</t>
  </si>
  <si>
    <t>R100</t>
  </si>
  <si>
    <t>R101</t>
  </si>
  <si>
    <t>R102, R103</t>
  </si>
  <si>
    <t>R116, R127, R177</t>
  </si>
  <si>
    <t>R122</t>
  </si>
  <si>
    <t>R124, R125</t>
  </si>
  <si>
    <t>R128</t>
  </si>
  <si>
    <t>R129</t>
  </si>
  <si>
    <t>R130</t>
  </si>
  <si>
    <t>R134</t>
  </si>
  <si>
    <t>R135, R136, R137, R138, R139</t>
  </si>
  <si>
    <t>R141, R142</t>
  </si>
  <si>
    <t>R150, R151</t>
  </si>
  <si>
    <t>R154, R155, R156, R157, R158</t>
  </si>
  <si>
    <t>R168</t>
  </si>
  <si>
    <t>R169, R170, R171, R172, R173, R174, R175, R176</t>
  </si>
  <si>
    <t>R179</t>
  </si>
  <si>
    <t>R180, R197</t>
  </si>
  <si>
    <t>R181, R199</t>
  </si>
  <si>
    <t>R182</t>
  </si>
  <si>
    <t>R183</t>
  </si>
  <si>
    <t>R184</t>
  </si>
  <si>
    <t>R185</t>
  </si>
  <si>
    <t>R192, R195</t>
  </si>
  <si>
    <t>R193</t>
  </si>
  <si>
    <t>R194</t>
  </si>
  <si>
    <t>R196</t>
  </si>
  <si>
    <t>R201</t>
  </si>
  <si>
    <t>R202</t>
  </si>
  <si>
    <t>R203</t>
  </si>
  <si>
    <t>R224, R225</t>
  </si>
  <si>
    <t>R226</t>
  </si>
  <si>
    <t>R227</t>
  </si>
  <si>
    <t>SW1, SW2, SW3, SW4, SW5</t>
  </si>
  <si>
    <t>U1, U26, U27, U28, U29, U30, U31, U32, U33, U36</t>
  </si>
  <si>
    <t>U2</t>
  </si>
  <si>
    <t>U3, U5</t>
  </si>
  <si>
    <t>U4</t>
  </si>
  <si>
    <t>U6</t>
  </si>
  <si>
    <t>U7</t>
  </si>
  <si>
    <t>U8</t>
  </si>
  <si>
    <t>U9</t>
  </si>
  <si>
    <t>U10, U18</t>
  </si>
  <si>
    <t>U11</t>
  </si>
  <si>
    <t>U12</t>
  </si>
  <si>
    <t>U13</t>
  </si>
  <si>
    <t>U14</t>
  </si>
  <si>
    <t>U15</t>
  </si>
  <si>
    <t>U16</t>
  </si>
  <si>
    <t>U17</t>
  </si>
  <si>
    <t>U19</t>
  </si>
  <si>
    <t>U20</t>
  </si>
  <si>
    <t>U21</t>
  </si>
  <si>
    <t>U22</t>
  </si>
  <si>
    <t>U23</t>
  </si>
  <si>
    <t>U24</t>
  </si>
  <si>
    <t>U25</t>
  </si>
  <si>
    <t>U34</t>
  </si>
  <si>
    <t>U35</t>
  </si>
  <si>
    <t>X1</t>
  </si>
  <si>
    <t>X2</t>
  </si>
  <si>
    <t>X3</t>
  </si>
  <si>
    <t>Description</t>
  </si>
  <si>
    <t>RF ANT 2.4GHZ/5GHZ CHIP SLDR SMD</t>
  </si>
  <si>
    <t>1.4V~3.6V 4.3mA DFN-6(1x1.6) Low Noise Amplifiers (LNA) - RF ROHS</t>
  </si>
  <si>
    <t>GPS passive ceramic antenna, size 18*18*</t>
  </si>
  <si>
    <t>CAP CER 10UF 50V X5R 0805</t>
  </si>
  <si>
    <t>CAP CER 0.1UF 50V X7R 0402</t>
  </si>
  <si>
    <t>CAP CER 2.2UF 50V X5R 0805</t>
  </si>
  <si>
    <t>100uF 50V ±20% SMD,D6.3xL7.7mm Aluminum Electrolytic Capacitors - SMD ROHS</t>
  </si>
  <si>
    <t>CAP CER 1UF 25V X5R 0402</t>
  </si>
  <si>
    <t>CAP CER 56PF 50V C0G/NPO 0402</t>
  </si>
  <si>
    <t>CAP CER 100PF 50V C0G/NPO 0402</t>
  </si>
  <si>
    <t>CAP CER 22UF 10V X5R 0603</t>
  </si>
  <si>
    <t>CAP CER 47UF 25V X5R 1206</t>
  </si>
  <si>
    <t>CAP CER 10UF 10V X5R 0603</t>
  </si>
  <si>
    <t>CAP CER 0.1UF 10V X5R 0402</t>
  </si>
  <si>
    <t>CAP CER 22UF 6.3V X5R 0603</t>
  </si>
  <si>
    <t>CAP CER 18PF 50V C0G/NP0 0402</t>
  </si>
  <si>
    <t>CAP CER 4.7UF 10V X5R 0402</t>
  </si>
  <si>
    <t>CAP CER 1UF 10V X5R 0402</t>
  </si>
  <si>
    <t>CAP CER 2.2UF 6.3V X5R 0402</t>
  </si>
  <si>
    <t>CAP CER 4.7UF 6.3V X5R 0402</t>
  </si>
  <si>
    <t>CAP CER 0.1UF 10V X5R 0201</t>
  </si>
  <si>
    <t>CAP CER 1UF 6.3V X5R 0201</t>
  </si>
  <si>
    <t>CAP CER 10UF 6.3V X5R 0603</t>
  </si>
  <si>
    <t>CAP CER 10PF 50V C0G/NP0 0402</t>
  </si>
  <si>
    <t>CAP CER 1000PF 50V C0G/NP0 0402</t>
  </si>
  <si>
    <t>CAP CER 4700PF 1KV X7R 1206</t>
  </si>
  <si>
    <t>CAP CER 2.2UF 25V X5R 0603</t>
  </si>
  <si>
    <t>CAP CER 1UF 50V X5R 0603</t>
  </si>
  <si>
    <t>CAP CER 12PF 50V C0G/NP0 0402</t>
  </si>
  <si>
    <t>CAP CER 4.7UF 16V X5R 0603</t>
  </si>
  <si>
    <t>CAP CER 10PF 50V C0G/NPO 0603</t>
  </si>
  <si>
    <t>CAP CER 0.22UF 250V X7R 1210</t>
  </si>
  <si>
    <t>1uF 50V 8mA@120Hz ±20% SMD,D4xL5.4mm Aluminum Electrolytic Capacitors - SMD ROHS</t>
  </si>
  <si>
    <t>CAP CER 10000PF 200V X7R 0805</t>
  </si>
  <si>
    <t>CAP ALUM 10uF 25V SMD</t>
  </si>
  <si>
    <t>CAP CER 0.033UF 25V X7R 0402</t>
  </si>
  <si>
    <t>CAP ALUM POLY 10UF 20% 50V SMD</t>
  </si>
  <si>
    <t>CAP CER 100PF 50V C0G/NPO 0603</t>
  </si>
  <si>
    <t>0.5mA@40V 40V Single 3A 0.55V@3A SMA(DO-214AC) Schottky Barrier Diodes (SBD) ROHS</t>
  </si>
  <si>
    <t>DFN1006-2(0402) ESD Protection Devices ROHS</t>
  </si>
  <si>
    <t>30V Dual Common Cathode 1V@100mA 200mA SOT-23(TO-236) Schottky Barrier Diodes (SBD) ROHS</t>
  </si>
  <si>
    <t>DIODE SCHOTTKY 40V 1A SOD123</t>
  </si>
  <si>
    <t>4A@8/20us 15V 7V 5V Unidirectional DFN1006-2L TVS ROHS</t>
  </si>
  <si>
    <t>DIODE SCHOTTKY 40V 1A SOD323</t>
  </si>
  <si>
    <t>4A@8/20us 12V 7V 5V Unidirectional DFN2510-10L TVS ROHS</t>
  </si>
  <si>
    <t>60V 700mV@2A 2A SMA(DO-214AC) Schottky Barrier Diodes (SBD) ROHS</t>
  </si>
  <si>
    <t>DFN0603-D ESD Protection Devices ROHS</t>
  </si>
  <si>
    <t>1A Single 1kV 1.1V@1A SMA(DO-214AC) Diodes - General Purpose ROHS</t>
  </si>
  <si>
    <t>15A@8/20us 9V 5V 3.3V Unidirectional SOD-323 TVS ROHS</t>
  </si>
  <si>
    <t>±5% Single 15.3V~17.1V 500mW 16V SOD-123 Zener Diodes ROHS</t>
  </si>
  <si>
    <t>TVS DIODE 3.3VWM 11.5VC MICROSMP</t>
  </si>
  <si>
    <t>100V 400mW Single 1.25V@150mA 8ns 300mA SOD-123 Switching Diode ROHS</t>
  </si>
  <si>
    <t>24V 3A 40A 6A 1812 Resettable Fuses ROHS</t>
  </si>
  <si>
    <t>Ferrite Beads Multi-Layer 120Ohm 25% 100MHz 2A 50mOhm DCR 0603 Paper T/R</t>
  </si>
  <si>
    <t>0603 180Ω ±25% DCR=0.09Ω 1.5A</t>
  </si>
  <si>
    <t>FERRITE BEAD 1K OHM 0805 1LN</t>
  </si>
  <si>
    <t>Gold 250V 3A Straight Square Pins 2.5mm 2P 260℃ 6mm -40℃~+105℃ 3mm 2.54mm Plugin Black Brass 1x2P Plugin,P=2.54mm Pin Headers ROHS</t>
  </si>
  <si>
    <t>Battery base CR2032 SMD Battery Connectors ROHS</t>
  </si>
  <si>
    <t>Pogo Pad 2.5mm 4 Pin</t>
  </si>
  <si>
    <t>Gold 250V 3A Straight Square Pins 2.5mm 3P 260℃ 6mm -40℃~+105℃ 3mm 2.54mm Plugin Black Brass 1x3P Plugin,P=2.54mm Pin Headers ROHS</t>
  </si>
  <si>
    <t>-45℃~+85℃ 1.4mm Gold Deck MicroSD card (TF card) 260℃ Phosphor coppe Self bomb SMD SD Card Connectors ROHS</t>
  </si>
  <si>
    <t>CONN RCP MICRO HDMI 19POS SMD RA</t>
  </si>
  <si>
    <t>CONN FFC BOTTOM 30POS 0.5MM R/A</t>
  </si>
  <si>
    <t>5A USB 3.1 1 260℃ Brick nogging 24P Female -45℃~+85℃ Type-C SMD USB Connectors ROHS</t>
  </si>
  <si>
    <t>SMD Button And Strip Battery Connector ROHS</t>
  </si>
  <si>
    <t>3 Straight 35P 4mm Tin - Automobile Connectors ROHS</t>
  </si>
  <si>
    <t>RELAY GEN PURPOSE SPST 5A 12V</t>
  </si>
  <si>
    <t>13A 3.3uH Molding Choke ±20% 16A - Power Inductors ROHS</t>
  </si>
  <si>
    <t>8A 4.7uH ±20% SMD,10x10.1mm Power Inductors ROHS</t>
  </si>
  <si>
    <t>4.2A 470nH 合金磁胶电感 ±20% 8A SMD,3x3mm Power Inductors ROHS</t>
  </si>
  <si>
    <t>4.05A 240nH ±20% 19mΩ SMD Power Inductors ROHS</t>
  </si>
  <si>
    <t>Fixed Ind 2.2UH 4.3A 48MOHM SMD</t>
  </si>
  <si>
    <t>590mA 22uH ±20% SMD,4x4x1.8mm Power Inductors ROHS</t>
  </si>
  <si>
    <t>Fixed Ind 3.3UH 2A 66 Mohm SMD</t>
  </si>
  <si>
    <t>90Ω@100MHz 4Ω 2 0302 Common Mode Filters ROHS</t>
  </si>
  <si>
    <t>600mA 6.8nH ±5% 110mΩ 0805 Inductors (SMD) ROHS</t>
  </si>
  <si>
    <t>yellow 0603 Light Emitting Diodes (LED) ROHS</t>
  </si>
  <si>
    <t>RED LED 0603 Light Emitting Diodes</t>
  </si>
  <si>
    <t>Emerald 0603 Light Emitting Diodes (LED) ROHS</t>
  </si>
  <si>
    <t>20mA 100mcd~220mcd 600nm~610nm -30℃~+85℃ Orange 130° 65mW 1.6V~2.6V 0603 Light Emitting Diodes (LED) ROHS</t>
  </si>
  <si>
    <t>blue 0603 Light Emitting Diodes (LED) ROHS</t>
  </si>
  <si>
    <t>Trans Gp Bjt NPN 25V 1.5A 300MW 3-PIN SOT-23 T/r</t>
  </si>
  <si>
    <t>30V 100mA 200mW 8Ω@4V,10mA N Channel SOT-23 MOSFETs ROHS</t>
  </si>
  <si>
    <t>RES 1K OHM 1% 1/16W 0402</t>
  </si>
  <si>
    <t>RES 0 OHM JUMPER 1/8W 0805</t>
  </si>
  <si>
    <t>RES 2 OHM 5% 1/2W 1210</t>
  </si>
  <si>
    <t>RES 10K OHM 1% 1/16W 0402</t>
  </si>
  <si>
    <t>RES 100K OHM 1% 1/16W 0402</t>
  </si>
  <si>
    <t>RES SMD 93.1KOHM 0.1% 1/16W 0402</t>
  </si>
  <si>
    <t>RES SMD 30.1KOHM 0.1% 1/16W 0402</t>
  </si>
  <si>
    <t>RES 20K OHM 1% 1/16W 0402</t>
  </si>
  <si>
    <t>RES SMD 73.2KOHM 0.1% 1/16W 0402</t>
  </si>
  <si>
    <t>RES SMD 10K OHM 0.1% 1/16W 0402</t>
  </si>
  <si>
    <t>RES 0 OHM JUMPER 1/10W 0603</t>
  </si>
  <si>
    <t>RES 100 OHM 1% 1/16W 0402</t>
  </si>
  <si>
    <t>RES 560 OHM 1% 1/16W 0402</t>
  </si>
  <si>
    <t>RES 9.1K OHM 1% 1/16W 0402</t>
  </si>
  <si>
    <t>RES 22 OHM 1% 1/16W 0402</t>
  </si>
  <si>
    <t>RES 51K OHM 0.1% 1/16W 0402</t>
  </si>
  <si>
    <t>RES SMD 120K OHM 0.1% 1/16W 0402</t>
  </si>
  <si>
    <t>RES 0 OHM JUMPER 1/16W 0402</t>
  </si>
  <si>
    <t>RES 51K OHM 1% 1/16W 0402</t>
  </si>
  <si>
    <t>RES SMD 0R, 1%, 0.1W, 0603</t>
  </si>
  <si>
    <t>RES 120 OHM 1% 1/20W 0201</t>
  </si>
  <si>
    <t>RES 1M OHM 1% 1/16W 0402</t>
  </si>
  <si>
    <t>RES SMD 2.2K OHM 1% 1/16W 0402</t>
  </si>
  <si>
    <t>RES 4.7K OHM 1% 1/16W 0402</t>
  </si>
  <si>
    <t>RES 200 OHM 1% 1/20W 0201</t>
  </si>
  <si>
    <t>RES 2.2 OHM 1% 1/16W 0402</t>
  </si>
  <si>
    <t>RES 1.62K OHM 0.5% 1/20W 0201</t>
  </si>
  <si>
    <t>RES 3.3K OHM 1% 1/16W 0402</t>
  </si>
  <si>
    <t>RES SMD 2K OHM 0.1% 1/10W 0603</t>
  </si>
  <si>
    <t>RES SMD 100K OHM 0.1% 1/16W 0402</t>
  </si>
  <si>
    <t>RES 240 OHM 1% 1/16W 0402</t>
  </si>
  <si>
    <t>RES SMD 1M OHM 1% 1/10W 0603</t>
  </si>
  <si>
    <t>RES 27K OHM 0.5% 1/16W 0402</t>
  </si>
  <si>
    <t>RES 1.8K OHM 1% 1/16W 0402</t>
  </si>
  <si>
    <t>RES 3K OHM 1% 1/16W 0402</t>
  </si>
  <si>
    <t>RES 82K OHM 1% 1/16W 0402</t>
  </si>
  <si>
    <t>RES 8.2 OHM 1% 1/4W 1206</t>
  </si>
  <si>
    <t>RES 30K OHM 1% 1/16W 0402</t>
  </si>
  <si>
    <t>RES 15K OHM 1% 1/10W 0603</t>
  </si>
  <si>
    <t>RES 20K OHM 1% 1/10W 0603</t>
  </si>
  <si>
    <t>RES 33 OHM 1% 1/16W 0402</t>
  </si>
  <si>
    <t>RES SMD 15K OHM 0.1% 1/16W 0402</t>
  </si>
  <si>
    <t>RES SMD 0 OHM JUMPER 1/20W 0201</t>
  </si>
  <si>
    <t>RES 100K OHM 1% 1/8W 0805</t>
  </si>
  <si>
    <t>RES SMD 22K OHM 0.1% 1/10W 0603</t>
  </si>
  <si>
    <t>TRIMMER 100K OHM 0.1W J LEAD TOP</t>
  </si>
  <si>
    <t>RES SMD 47K OHM 0.1% 1/10W 0603</t>
  </si>
  <si>
    <t>RES 200K OHM 0.5% 1/16W 0402</t>
  </si>
  <si>
    <t>RES 1M OHM 1% 1/8W 0805</t>
  </si>
  <si>
    <t>RES 1.5K OHM 1% 1/16W 0402</t>
  </si>
  <si>
    <t>RES SMD 1K OHM 0.1% 1/10W 0603</t>
  </si>
  <si>
    <t>RES 470 OHM 1% 1/10W 0603</t>
  </si>
  <si>
    <t>RES SMD 10 OHM 1% 1/10W 0603</t>
  </si>
  <si>
    <t>RES SMD 10K OHM 0.1% 1/10W 0603</t>
  </si>
  <si>
    <t>RES SMD 2.7K OHM 0.1% 1/10W 0603</t>
  </si>
  <si>
    <t>RES 120 OHM 1% 1/10W 0603</t>
  </si>
  <si>
    <t>RES SMD 100 OHM 1% 1/10W 0603</t>
  </si>
  <si>
    <t>RES 22 OHM 1% 1/10W 0603</t>
  </si>
  <si>
    <t>RES SMD 6.8 OHM 1% 1/10W 0603</t>
  </si>
  <si>
    <t>SWITCH TACTILE SPST-NO 0.05A 12V</t>
  </si>
  <si>
    <t>70V 5kV 50mA 100mV@1mA,20mA 1 6V 1.2V DC SMD-4 Transistor Output Optocoupler ROHS</t>
  </si>
  <si>
    <t>IC REG BUCK ADJ 6A 10VQFN</t>
  </si>
  <si>
    <t>IC REG BUCK ADJ 3A TSOT26</t>
  </si>
  <si>
    <t>IC REG LIN 5V 150MA SOT25 T&amp;R 3K</t>
  </si>
  <si>
    <t>QFN-68-EP(7x7) Power Management Specialized - PMIC ROHS</t>
  </si>
  <si>
    <t>Step-down type CSP1.56*1.96-20 DC-DC Converters ROHS</t>
  </si>
  <si>
    <t>FCCSP-636L Microcontroller Units (MCUs/MPUs/SOCs) ROHS</t>
  </si>
  <si>
    <t>IC REG LINEAR 1.8V 300MA SOT25</t>
  </si>
  <si>
    <t>SOT-23-5 Power Distribution Switches ROHS</t>
  </si>
  <si>
    <t>Step-down type SOT-23-5 DC-DC Converters ROHS</t>
  </si>
  <si>
    <t>FBGA-200 DDR SDRAM ROHS</t>
  </si>
  <si>
    <t>eMMC 5.1 FBGA-153 eMMC ROHS</t>
  </si>
  <si>
    <t>IC FLASH 128MBIT SPI/QUAD 8SOIC</t>
  </si>
  <si>
    <t>IC CURRENT SWITCH SOT23-3</t>
  </si>
  <si>
    <t>IC LED DRVR RGLTR PWM TSOT23-6</t>
  </si>
  <si>
    <t>802.11ac/a/b/g/n WiFi Combo Sip Module (WiFi 5), 1T1R</t>
  </si>
  <si>
    <t>IC USB TYPE C CTLR PROGR 18TMLP</t>
  </si>
  <si>
    <t>IC USB TYPE C CTLR PROGR 14-MLP</t>
  </si>
  <si>
    <t>ESOP-8 ADC/DAC - Specialized ROHS</t>
  </si>
  <si>
    <t>IC F/V CONV 10KHZ 8SOIC</t>
  </si>
  <si>
    <t>SMD,10.1x9.7mm Satellite Positioning Modules ROHS</t>
  </si>
  <si>
    <t>IC REG LIN POS ADJ 500MA SOT223</t>
  </si>
  <si>
    <t>IC ADC 16BIT SIGMA-DELTA 10VSSOP</t>
  </si>
  <si>
    <t>IC XPNDR 1.7MHZ I2C 28SSOP</t>
  </si>
  <si>
    <t>400kHz SO-8 I/O Expanders ROHS</t>
  </si>
  <si>
    <t>32.768kHz 贴片晶振 12.5pF ±20ppm ±20ppm SMD3215-2P Crystals ROHS</t>
  </si>
  <si>
    <t>24MHz 8pF ±10ppm SMD3225-4P Crystals ROHS</t>
  </si>
  <si>
    <t>37.4MHz SMD Crystal Resonator 9pF 60Ω ±10ppm -40℃~+85℃ SMD2016-4P Crystals</t>
  </si>
  <si>
    <t>Footprint</t>
  </si>
  <si>
    <t>M830520</t>
  </si>
  <si>
    <t>DFN-6(1x1.6)</t>
  </si>
  <si>
    <t>KH-GPS181804-WY</t>
  </si>
  <si>
    <t>Cap-0805</t>
  </si>
  <si>
    <t>Cap-0402</t>
  </si>
  <si>
    <t>RVT1H101M0607</t>
  </si>
  <si>
    <t>Cap-0603</t>
  </si>
  <si>
    <t>Cap-1206</t>
  </si>
  <si>
    <t>CAP-0201</t>
  </si>
  <si>
    <t>Cap-0201</t>
  </si>
  <si>
    <t>CAP-0603</t>
  </si>
  <si>
    <t>Cap-1210</t>
  </si>
  <si>
    <t>RVT1H1R0M0405</t>
  </si>
  <si>
    <t>50SVPF10M</t>
  </si>
  <si>
    <t>SMA</t>
  </si>
  <si>
    <t>DFN1006-2L_</t>
  </si>
  <si>
    <t>SOT-23</t>
  </si>
  <si>
    <t>SOD-123</t>
  </si>
  <si>
    <t>SOD-323</t>
  </si>
  <si>
    <t>DFN2510-10L_</t>
  </si>
  <si>
    <t>SMA(DO-214AC)</t>
  </si>
  <si>
    <t>DFN0603-D</t>
  </si>
  <si>
    <t>MicroSMP</t>
  </si>
  <si>
    <t>Fuse-1812_</t>
  </si>
  <si>
    <t>IND-0603 (1608 Metric)</t>
  </si>
  <si>
    <t>Ind-0805</t>
  </si>
  <si>
    <t>HDR1X2_</t>
  </si>
  <si>
    <t>CR2032-BS-6-1</t>
  </si>
  <si>
    <t>HDR1X3_</t>
  </si>
  <si>
    <t>TF-109</t>
  </si>
  <si>
    <t>46765-1001</t>
  </si>
  <si>
    <t>TF31-30S-0.5SH(800)</t>
  </si>
  <si>
    <t>TYPEC-501S-ACP24H92</t>
  </si>
  <si>
    <t>PB-621SR13-TF</t>
  </si>
  <si>
    <t>K776280WV-35-PTSNW</t>
  </si>
  <si>
    <t>ALDP112W</t>
  </si>
  <si>
    <t>FAUL1050-3R3MT</t>
  </si>
  <si>
    <t>YSPI1050-4R7M</t>
  </si>
  <si>
    <t>YHNR3012-R47M</t>
  </si>
  <si>
    <t>YNR4018-220M</t>
  </si>
  <si>
    <t>LED-0603</t>
  </si>
  <si>
    <t>Res-0402</t>
  </si>
  <si>
    <t>Res-0805</t>
  </si>
  <si>
    <t>Res_1210</t>
  </si>
  <si>
    <t>Res-0603</t>
  </si>
  <si>
    <t>Res-0201</t>
  </si>
  <si>
    <t>Res-1206</t>
  </si>
  <si>
    <t>RES-0805</t>
  </si>
  <si>
    <t>B3U-1000P</t>
  </si>
  <si>
    <t>PC817C</t>
  </si>
  <si>
    <t>10-VQFN-HR (3x3)</t>
  </si>
  <si>
    <t>SOT-23-6</t>
  </si>
  <si>
    <t>SOT-23-5</t>
  </si>
  <si>
    <t>68-QFN-(7x7)</t>
  </si>
  <si>
    <t>CSP1.56*1.96-20</t>
  </si>
  <si>
    <t>FCCSP-636L</t>
  </si>
  <si>
    <t>200-WFBGA (10x14.5)</t>
  </si>
  <si>
    <t>FBGA-153(11.5x13)</t>
  </si>
  <si>
    <t>SOIC-8 (208 mil)</t>
  </si>
  <si>
    <t>AP6256_</t>
  </si>
  <si>
    <t>X2-QFN-18</t>
  </si>
  <si>
    <t>WFQFN-14(2.5x2.5)</t>
  </si>
  <si>
    <t>ESOP-8</t>
  </si>
  <si>
    <t>SOIC-8(0.154", 3.90mm Width)</t>
  </si>
  <si>
    <t>ATGM336H-6N-74</t>
  </si>
  <si>
    <t>SOT- 223</t>
  </si>
  <si>
    <t>VSSOP-10</t>
  </si>
  <si>
    <t>SSOP-28-208mil</t>
  </si>
  <si>
    <t>SOP-8</t>
  </si>
  <si>
    <t>SMD3215-2P</t>
  </si>
  <si>
    <t>SMD3225-4P</t>
  </si>
  <si>
    <t>Manufacturer Part Number</t>
  </si>
  <si>
    <t>AT2659</t>
  </si>
  <si>
    <t>GRM21BR61H106ME43L</t>
  </si>
  <si>
    <t>GRM155R71H104ME14D</t>
  </si>
  <si>
    <t>CC0805KKX5R9BB225</t>
  </si>
  <si>
    <t>CC0402KRX5R8BB105</t>
  </si>
  <si>
    <t>CC0402FRNPO9BN560</t>
  </si>
  <si>
    <t>CC0402JRNPO9BN101</t>
  </si>
  <si>
    <t>CC0603MRX5R6BB226</t>
  </si>
  <si>
    <t>GRM31CR61E476ME44L</t>
  </si>
  <si>
    <t>CC0603KRX5R6BB106</t>
  </si>
  <si>
    <t>CC0402KRX5R6BB104</t>
  </si>
  <si>
    <t>CC0603MRX5R5BB226</t>
  </si>
  <si>
    <t>GCM1555C1H180GA16D</t>
  </si>
  <si>
    <t>CC0402KRX5R6BB475</t>
  </si>
  <si>
    <t>CC0402KRX5R6BB105</t>
  </si>
  <si>
    <t>C1005X5R0J225KTJA0E</t>
  </si>
  <si>
    <t>CC0402KRX5R5BB475</t>
  </si>
  <si>
    <t>CC0201KRX5R6BB104</t>
  </si>
  <si>
    <t>CC0201KRX5R5BB105</t>
  </si>
  <si>
    <t>GRM188R60J106ME47D</t>
  </si>
  <si>
    <t>GRM1555C1H100JA01D</t>
  </si>
  <si>
    <t>GRM1555C1H102JA01D</t>
  </si>
  <si>
    <t>CC1206KKX7RCBB472</t>
  </si>
  <si>
    <t>CC0603KRX5R8BB225</t>
  </si>
  <si>
    <t>CL10A105KB8NNNC</t>
  </si>
  <si>
    <t>GJM1555C1H120GB01D</t>
  </si>
  <si>
    <t>CC0603KRX5R7BB475</t>
  </si>
  <si>
    <t>CC0603JRNPO9BN100</t>
  </si>
  <si>
    <t>CC1210KKX7RYBB224</t>
  </si>
  <si>
    <t>CC0805KKX7RABB103</t>
  </si>
  <si>
    <t>RVT1E100M0405</t>
  </si>
  <si>
    <t>CC0402KRX7R8BB333</t>
  </si>
  <si>
    <t>CC0603JRNPO9BN101</t>
  </si>
  <si>
    <t>CL05B104KB54PNC</t>
  </si>
  <si>
    <t>CL05A105KA5NQNC</t>
  </si>
  <si>
    <t>SS34</t>
  </si>
  <si>
    <t>ESD5451N</t>
  </si>
  <si>
    <t>BAT54C</t>
  </si>
  <si>
    <t>1N5819HW-7-F</t>
  </si>
  <si>
    <t>ESD5341N-2/TR</t>
  </si>
  <si>
    <t>B5819WS-TP</t>
  </si>
  <si>
    <t>ESD5304D-10/TR</t>
  </si>
  <si>
    <t>SS26</t>
  </si>
  <si>
    <t>ESD5311Z-2/TR</t>
  </si>
  <si>
    <t>1N4007</t>
  </si>
  <si>
    <t>PESDHC3D3V3U</t>
  </si>
  <si>
    <t>BZT52C16</t>
  </si>
  <si>
    <t>1N4148W</t>
  </si>
  <si>
    <t>BSMD1812-300-24V</t>
  </si>
  <si>
    <t>BLM18PG121SN1D</t>
  </si>
  <si>
    <t>BLM18PG181SN1D</t>
  </si>
  <si>
    <t>MMZ2012R102ATD25</t>
  </si>
  <si>
    <t>X6511WV-02H-C60D30</t>
  </si>
  <si>
    <t>POGO Connector 4 Pin</t>
  </si>
  <si>
    <t>X6511WV-03H-C60D30</t>
  </si>
  <si>
    <t>WPN252012HR24MT</t>
  </si>
  <si>
    <t>WPN4020H2R2MT</t>
  </si>
  <si>
    <t>SPH4018H3R3MT</t>
  </si>
  <si>
    <t>SDMM0806H-2-900T</t>
  </si>
  <si>
    <t>BKW0805UC6N8JGT</t>
  </si>
  <si>
    <t>NCD0603Y2</t>
  </si>
  <si>
    <t>NCD0603R3</t>
  </si>
  <si>
    <t>NCD0603G2</t>
  </si>
  <si>
    <t>NCD0603O2</t>
  </si>
  <si>
    <t>NCD0603B3</t>
  </si>
  <si>
    <t>SS8050-G</t>
  </si>
  <si>
    <t>2SK3018</t>
  </si>
  <si>
    <t>RC0402FR-071KL</t>
  </si>
  <si>
    <t>RC0805FR-070RL</t>
  </si>
  <si>
    <t>RC1210JR-072RL</t>
  </si>
  <si>
    <t>RC0402FR-0710KL</t>
  </si>
  <si>
    <t>RC0402FR-07100KL</t>
  </si>
  <si>
    <t>RT0402BRE0793K1L</t>
  </si>
  <si>
    <t>RT0402BRD0730K1L</t>
  </si>
  <si>
    <t>RC0402FR-0720KL</t>
  </si>
  <si>
    <t>RT0402BRD0773K2L</t>
  </si>
  <si>
    <t>RT0402BRD0710KL</t>
  </si>
  <si>
    <t>RC0603JR-070RL</t>
  </si>
  <si>
    <t>RC0402FR-07100RL</t>
  </si>
  <si>
    <t>RC0402FR-07560RL</t>
  </si>
  <si>
    <t>RC0402FR-079K1L</t>
  </si>
  <si>
    <t>RC0402FR-0722RL</t>
  </si>
  <si>
    <t>AT0402BRD0751KL</t>
  </si>
  <si>
    <t>RT0402BRD07120KL</t>
  </si>
  <si>
    <t>RC0402FR-070RL</t>
  </si>
  <si>
    <t>RC0402FR-0751KL</t>
  </si>
  <si>
    <t>RC0603FR-070RL</t>
  </si>
  <si>
    <t>RC0201FR-07120RL</t>
  </si>
  <si>
    <t>RC0402FR-071ML</t>
  </si>
  <si>
    <t>RC0402FR-072K2L</t>
  </si>
  <si>
    <t>RC0402FR-074K7L</t>
  </si>
  <si>
    <t>RC0201FR-07200RL</t>
  </si>
  <si>
    <t>RC0402FR-072R2L</t>
  </si>
  <si>
    <t>RC0201DR-071K62L</t>
  </si>
  <si>
    <t>RC0402FR-073K3L</t>
  </si>
  <si>
    <t>RT0603BRE072KL</t>
  </si>
  <si>
    <t>RT0402BRD07100KL</t>
  </si>
  <si>
    <t>RC0402FR-07240RL</t>
  </si>
  <si>
    <t>RC0603FR-071ML</t>
  </si>
  <si>
    <t>RC0402DR-0727KL</t>
  </si>
  <si>
    <t>RC0402FR-071K8L</t>
  </si>
  <si>
    <t>RC0402FR-073KL</t>
  </si>
  <si>
    <t>RC0402FR-0782KL</t>
  </si>
  <si>
    <t>RC1206FR-078R2L</t>
  </si>
  <si>
    <t>RC0402FR-0730KL</t>
  </si>
  <si>
    <t>RC0603FR-0715KL</t>
  </si>
  <si>
    <t>RC0603FR-0720KL</t>
  </si>
  <si>
    <t>RC0402FR-0733RL</t>
  </si>
  <si>
    <t>RT0402BRD0715KL</t>
  </si>
  <si>
    <t>RC0201JR-070RL</t>
  </si>
  <si>
    <t>RC0805FR-07100KL</t>
  </si>
  <si>
    <t>RT0603BRD0722KL</t>
  </si>
  <si>
    <t>TC33X-2-104E</t>
  </si>
  <si>
    <t>RT0603BRD0747KL</t>
  </si>
  <si>
    <t>RC0402DR-07200KL</t>
  </si>
  <si>
    <t>RC0805FR-071ML</t>
  </si>
  <si>
    <t>RC0402FR-071K5L</t>
  </si>
  <si>
    <t>RT0603BRD071KL</t>
  </si>
  <si>
    <t>RC0603FR-07470RL</t>
  </si>
  <si>
    <t>RC0603FR-0710RL</t>
  </si>
  <si>
    <t>RT0603BRD0710KL</t>
  </si>
  <si>
    <t>RT0603BRD07-2K7L</t>
  </si>
  <si>
    <t>RC0603FR-07120RL</t>
  </si>
  <si>
    <t>RC0603FR-07100RL</t>
  </si>
  <si>
    <t>RC0603FR-0722RL</t>
  </si>
  <si>
    <t>RC0603FR-076R8L</t>
  </si>
  <si>
    <t>TPS56637RPAR</t>
  </si>
  <si>
    <t>AP63300WU-7</t>
  </si>
  <si>
    <t>AP7383-50WR-7</t>
  </si>
  <si>
    <t>RK809-5</t>
  </si>
  <si>
    <t>SYR838PKC</t>
  </si>
  <si>
    <t>RK3568B2</t>
  </si>
  <si>
    <t>AP7331-18WG-7</t>
  </si>
  <si>
    <t>SY6280AAC</t>
  </si>
  <si>
    <t>SY8089AAAC</t>
  </si>
  <si>
    <t>K4UBE3D4AA-MGCL</t>
  </si>
  <si>
    <t>KLMAG1JETD-B041</t>
  </si>
  <si>
    <t>W25Q128JWSIQ</t>
  </si>
  <si>
    <t>AP2331SA-7</t>
  </si>
  <si>
    <t>RT9293BGJ6</t>
  </si>
  <si>
    <t>AP6256</t>
  </si>
  <si>
    <t>FUSB340TMX</t>
  </si>
  <si>
    <t>FUSB302BMPX</t>
  </si>
  <si>
    <t>GP8101S-TC50-EW</t>
  </si>
  <si>
    <t>LM2917MX-8</t>
  </si>
  <si>
    <t>LM317MDCYR</t>
  </si>
  <si>
    <t>ADS1115IDGSR</t>
  </si>
  <si>
    <t>MCP23017T-E/SS</t>
  </si>
  <si>
    <t>PCA9536D,118</t>
  </si>
  <si>
    <t>XDMCZLNDDF-0.032768MHZ</t>
  </si>
  <si>
    <t>E3SB24E000009E</t>
  </si>
  <si>
    <t>Q22FA12800078</t>
  </si>
  <si>
    <t>Manufacturer</t>
  </si>
  <si>
    <t>Kyocera AVX</t>
  </si>
  <si>
    <t>ZHONGKEWEI</t>
  </si>
  <si>
    <t>Shenzhen Kinghelm Elec</t>
  </si>
  <si>
    <t>Murata</t>
  </si>
  <si>
    <t>Yageo</t>
  </si>
  <si>
    <t>ROQANG</t>
  </si>
  <si>
    <t>TDK</t>
  </si>
  <si>
    <t>Samsung</t>
  </si>
  <si>
    <t>Roqang</t>
  </si>
  <si>
    <t>Panasonic</t>
  </si>
  <si>
    <t>MDD</t>
  </si>
  <si>
    <t>TECH PUBLIC</t>
  </si>
  <si>
    <t>Shandong Jingdao Microelectronics</t>
  </si>
  <si>
    <t>Diodes</t>
  </si>
  <si>
    <t>WILLSEMI</t>
  </si>
  <si>
    <t>TWGMC</t>
  </si>
  <si>
    <t>Shanghai Prisemi Elec</t>
  </si>
  <si>
    <t>Shikues</t>
  </si>
  <si>
    <t>JSMSEMI</t>
  </si>
  <si>
    <t>BHFUSE</t>
  </si>
  <si>
    <t>Murata Electronics</t>
  </si>
  <si>
    <t>XKB</t>
  </si>
  <si>
    <t>Q&amp;J</t>
  </si>
  <si>
    <t>XUNPU</t>
  </si>
  <si>
    <t>Molex</t>
  </si>
  <si>
    <t>Hirose</t>
  </si>
  <si>
    <t>JST</t>
  </si>
  <si>
    <t>XKB Connection</t>
  </si>
  <si>
    <t>cjiang</t>
  </si>
  <si>
    <t>YJYCOIN</t>
  </si>
  <si>
    <t>Sunlord</t>
  </si>
  <si>
    <t>FH-BK</t>
  </si>
  <si>
    <t>Foshan NationStar Optoelectronics</t>
  </si>
  <si>
    <t>FOSHAN Nationstar Optoelectronics</t>
  </si>
  <si>
    <t>Comchip</t>
  </si>
  <si>
    <t>KUU</t>
  </si>
  <si>
    <t>Bourns</t>
  </si>
  <si>
    <t>Omron</t>
  </si>
  <si>
    <t>Slkor</t>
  </si>
  <si>
    <t>Texas Instruments</t>
  </si>
  <si>
    <t>Rockchip</t>
  </si>
  <si>
    <t>Silergy</t>
  </si>
  <si>
    <t>Winbond</t>
  </si>
  <si>
    <t>Richtek</t>
  </si>
  <si>
    <t>SparkLan</t>
  </si>
  <si>
    <t>ON Semiconductor / Fairchild</t>
  </si>
  <si>
    <t>Guestgood</t>
  </si>
  <si>
    <t>TI National Semiconductor</t>
  </si>
  <si>
    <t>Microchip</t>
  </si>
  <si>
    <t>NXP Semiconductors</t>
  </si>
  <si>
    <t>TAITIEN Elec</t>
  </si>
  <si>
    <t>Hosonic Elec</t>
  </si>
  <si>
    <t>Seiko</t>
  </si>
  <si>
    <t>2.4GHZ/5GHZ</t>
  </si>
  <si>
    <t>10uF</t>
  </si>
  <si>
    <t>0.1uF</t>
  </si>
  <si>
    <t>2.2uF</t>
  </si>
  <si>
    <t>100uF</t>
  </si>
  <si>
    <t>1uF</t>
  </si>
  <si>
    <t>56pF</t>
  </si>
  <si>
    <t>100pF</t>
  </si>
  <si>
    <t>22uF</t>
  </si>
  <si>
    <t>47uF</t>
  </si>
  <si>
    <t>18pF</t>
  </si>
  <si>
    <t>4.7uF</t>
  </si>
  <si>
    <t>100nF</t>
  </si>
  <si>
    <t>10pF</t>
  </si>
  <si>
    <t>1nF</t>
  </si>
  <si>
    <t>DNP</t>
  </si>
  <si>
    <t>4.7nF</t>
  </si>
  <si>
    <t>12pF</t>
  </si>
  <si>
    <t>220nF</t>
  </si>
  <si>
    <t>10nF</t>
  </si>
  <si>
    <t>33nF</t>
  </si>
  <si>
    <t>120R</t>
  </si>
  <si>
    <t>3.3uH</t>
  </si>
  <si>
    <t>4.7uH</t>
  </si>
  <si>
    <t>470nH</t>
  </si>
  <si>
    <t>240nH</t>
  </si>
  <si>
    <t>2.2uH</t>
  </si>
  <si>
    <t>22uH</t>
  </si>
  <si>
    <t>6.8nH</t>
  </si>
  <si>
    <t>1K</t>
  </si>
  <si>
    <t>2R</t>
  </si>
  <si>
    <t>10K</t>
  </si>
  <si>
    <t>100K</t>
  </si>
  <si>
    <t>93.1K</t>
  </si>
  <si>
    <t>30.1K</t>
  </si>
  <si>
    <t>20K</t>
  </si>
  <si>
    <t>73.2K</t>
  </si>
  <si>
    <t>0R</t>
  </si>
  <si>
    <t>100R</t>
  </si>
  <si>
    <t>560R</t>
  </si>
  <si>
    <t>9.1K</t>
  </si>
  <si>
    <t>22R</t>
  </si>
  <si>
    <t>51K</t>
  </si>
  <si>
    <t>120K</t>
  </si>
  <si>
    <t>1M</t>
  </si>
  <si>
    <t>2.2K</t>
  </si>
  <si>
    <t>4.7K</t>
  </si>
  <si>
    <t>200R</t>
  </si>
  <si>
    <t>2.2R</t>
  </si>
  <si>
    <t>1.62K</t>
  </si>
  <si>
    <t>3.3K</t>
  </si>
  <si>
    <t>2K</t>
  </si>
  <si>
    <t>240R</t>
  </si>
  <si>
    <t>27K</t>
  </si>
  <si>
    <t>1.8K</t>
  </si>
  <si>
    <t>3K</t>
  </si>
  <si>
    <t>82K</t>
  </si>
  <si>
    <t>8.2R</t>
  </si>
  <si>
    <t>30K</t>
  </si>
  <si>
    <t>15K</t>
  </si>
  <si>
    <t>33R</t>
  </si>
  <si>
    <t>22K</t>
  </si>
  <si>
    <t>100k</t>
  </si>
  <si>
    <t>47K</t>
  </si>
  <si>
    <t>200K</t>
  </si>
  <si>
    <t>1.5K</t>
  </si>
  <si>
    <t>470R</t>
  </si>
  <si>
    <t>10R</t>
  </si>
  <si>
    <t>2.7K</t>
  </si>
  <si>
    <t>6.8R</t>
  </si>
  <si>
    <t>32.768kHz</t>
  </si>
  <si>
    <t>24MHz</t>
  </si>
  <si>
    <t>37.4MHz</t>
  </si>
  <si>
    <t>Quantity</t>
  </si>
  <si>
    <t>Value</t>
  </si>
  <si>
    <t>-</t>
  </si>
  <si>
    <t>Remarks</t>
  </si>
  <si>
    <t>Custom</t>
  </si>
  <si>
    <t>Do Not Place</t>
  </si>
  <si>
    <t>Peripherals</t>
  </si>
  <si>
    <t>LCD</t>
  </si>
  <si>
    <t>7.0 inch 280*1424,HDMI Interfac</t>
  </si>
  <si>
    <t>KD050FHFID103</t>
  </si>
  <si>
    <t>SHENZHEN STARTEK ELECTRONIC TECHNOLOGYCO.,LTD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</si>
</sst>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80"/>
  <sheetViews>
    <sheetView tabSelected="1" topLeftCell="A160" workbookViewId="0">
      <selection activeCell="E182" sqref="E18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1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33</v>
      </c>
      <c r="E2" s="6" t="s">
        <v>211</v>
      </c>
      <c r="F2" s="5" t="s">
        <v>383</v>
      </c>
      <c r="G2" s="6" t="s">
        <v>455</v>
      </c>
      <c r="H2" s="5" t="s">
        <v>608</v>
      </c>
      <c r="I2" s="5" t="s">
        <v>736</v>
      </c>
      <c r="J2" s="5" t="s">
        <v>735</v>
      </c>
      <c r="K2" s="5" t="s">
        <v>738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34</v>
      </c>
      <c r="E3" s="8" t="s">
        <v>212</v>
      </c>
      <c r="F3" s="7" t="s">
        <v>384</v>
      </c>
      <c r="G3" s="8" t="s">
        <v>384</v>
      </c>
      <c r="H3" s="7" t="s">
        <v>609</v>
      </c>
      <c r="I3" s="7" t="s">
        <v>662</v>
      </c>
      <c r="J3" s="7">
        <v>1</v>
      </c>
      <c r="K3" s="7"/>
    </row>
    <row r="4" spans="1:11" ht="24.75" thickBot="1" x14ac:dyDescent="0.3">
      <c r="A4" s="1"/>
      <c r="B4" s="11">
        <f t="shared" ref="B4:B178" si="0">ROW(B4) - ROW($B$2)</f>
        <v>2</v>
      </c>
      <c r="C4" s="13" t="s">
        <v>3</v>
      </c>
      <c r="D4" s="9" t="s">
        <v>35</v>
      </c>
      <c r="E4" s="10" t="s">
        <v>213</v>
      </c>
      <c r="F4" s="9" t="s">
        <v>385</v>
      </c>
      <c r="G4" s="10" t="s">
        <v>456</v>
      </c>
      <c r="H4" s="9" t="s">
        <v>610</v>
      </c>
      <c r="I4" s="9" t="s">
        <v>737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4</v>
      </c>
      <c r="D5" s="7" t="s">
        <v>36</v>
      </c>
      <c r="E5" s="8" t="s">
        <v>214</v>
      </c>
      <c r="F5" s="7" t="s">
        <v>739</v>
      </c>
      <c r="G5" s="8" t="s">
        <v>386</v>
      </c>
      <c r="H5" s="7" t="s">
        <v>611</v>
      </c>
      <c r="I5" s="7" t="s">
        <v>737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5</v>
      </c>
      <c r="D6" s="9" t="s">
        <v>37</v>
      </c>
      <c r="E6" s="10" t="s">
        <v>215</v>
      </c>
      <c r="F6" s="9" t="s">
        <v>387</v>
      </c>
      <c r="G6" s="10" t="s">
        <v>457</v>
      </c>
      <c r="H6" s="9" t="s">
        <v>612</v>
      </c>
      <c r="I6" s="9" t="s">
        <v>663</v>
      </c>
      <c r="J6" s="9">
        <v>8</v>
      </c>
      <c r="K6" s="9"/>
    </row>
    <row r="7" spans="1:11" ht="24.75" thickBot="1" x14ac:dyDescent="0.3">
      <c r="A7" s="1"/>
      <c r="B7" s="11">
        <f>ROW(B7) - ROW($B$2)</f>
        <v>5</v>
      </c>
      <c r="C7" s="12" t="s">
        <v>5</v>
      </c>
      <c r="D7" s="7" t="s">
        <v>38</v>
      </c>
      <c r="E7" s="8" t="s">
        <v>216</v>
      </c>
      <c r="F7" s="7" t="s">
        <v>388</v>
      </c>
      <c r="G7" s="8" t="s">
        <v>458</v>
      </c>
      <c r="H7" s="7" t="s">
        <v>612</v>
      </c>
      <c r="I7" s="7" t="s">
        <v>664</v>
      </c>
      <c r="J7" s="7">
        <v>15</v>
      </c>
      <c r="K7" s="7"/>
    </row>
    <row r="8" spans="1:11" ht="15.75" thickBot="1" x14ac:dyDescent="0.3">
      <c r="A8" s="1"/>
      <c r="B8" s="11">
        <f t="shared" si="0"/>
        <v>6</v>
      </c>
      <c r="C8" s="13" t="s">
        <v>5</v>
      </c>
      <c r="D8" s="9" t="s">
        <v>39</v>
      </c>
      <c r="E8" s="10" t="s">
        <v>217</v>
      </c>
      <c r="F8" s="9" t="s">
        <v>387</v>
      </c>
      <c r="G8" s="10" t="s">
        <v>459</v>
      </c>
      <c r="H8" s="9" t="s">
        <v>613</v>
      </c>
      <c r="I8" s="9" t="s">
        <v>665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5</v>
      </c>
      <c r="D9" s="7" t="s">
        <v>40</v>
      </c>
      <c r="E9" s="8" t="s">
        <v>218</v>
      </c>
      <c r="F9" s="7" t="s">
        <v>739</v>
      </c>
      <c r="G9" s="8" t="s">
        <v>389</v>
      </c>
      <c r="H9" s="7" t="s">
        <v>614</v>
      </c>
      <c r="I9" s="7" t="s">
        <v>666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2" t="s">
        <v>5</v>
      </c>
      <c r="D10" s="9" t="s">
        <v>41</v>
      </c>
      <c r="E10" s="10" t="s">
        <v>219</v>
      </c>
      <c r="F10" s="9" t="s">
        <v>388</v>
      </c>
      <c r="G10" s="10" t="s">
        <v>460</v>
      </c>
      <c r="H10" s="9" t="s">
        <v>613</v>
      </c>
      <c r="I10" s="9" t="s">
        <v>667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42</v>
      </c>
      <c r="E11" s="8" t="s">
        <v>220</v>
      </c>
      <c r="F11" s="7" t="s">
        <v>388</v>
      </c>
      <c r="G11" s="8" t="s">
        <v>461</v>
      </c>
      <c r="H11" s="7" t="s">
        <v>613</v>
      </c>
      <c r="I11" s="7" t="s">
        <v>668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43</v>
      </c>
      <c r="E12" s="10" t="s">
        <v>221</v>
      </c>
      <c r="F12" s="9" t="s">
        <v>388</v>
      </c>
      <c r="G12" s="10" t="s">
        <v>462</v>
      </c>
      <c r="H12" s="9" t="s">
        <v>613</v>
      </c>
      <c r="I12" s="9" t="s">
        <v>669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44</v>
      </c>
      <c r="E13" s="8" t="s">
        <v>222</v>
      </c>
      <c r="F13" s="7" t="s">
        <v>390</v>
      </c>
      <c r="G13" s="8" t="s">
        <v>463</v>
      </c>
      <c r="H13" s="7" t="s">
        <v>613</v>
      </c>
      <c r="I13" s="7" t="s">
        <v>670</v>
      </c>
      <c r="J13" s="7">
        <v>8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45</v>
      </c>
      <c r="E14" s="10" t="s">
        <v>223</v>
      </c>
      <c r="F14" s="9" t="s">
        <v>391</v>
      </c>
      <c r="G14" s="10" t="s">
        <v>464</v>
      </c>
      <c r="H14" s="9" t="s">
        <v>612</v>
      </c>
      <c r="I14" s="9" t="s">
        <v>671</v>
      </c>
      <c r="J14" s="9">
        <v>6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46</v>
      </c>
      <c r="E15" s="8" t="s">
        <v>224</v>
      </c>
      <c r="F15" s="7" t="s">
        <v>390</v>
      </c>
      <c r="G15" s="8" t="s">
        <v>465</v>
      </c>
      <c r="H15" s="7" t="s">
        <v>613</v>
      </c>
      <c r="I15" s="7" t="s">
        <v>663</v>
      </c>
      <c r="J15" s="7">
        <v>14</v>
      </c>
      <c r="K15" s="7"/>
    </row>
    <row r="16" spans="1:11" ht="108.75" thickBot="1" x14ac:dyDescent="0.3">
      <c r="A16" s="1"/>
      <c r="B16" s="11">
        <f t="shared" si="0"/>
        <v>14</v>
      </c>
      <c r="C16" s="13" t="s">
        <v>5</v>
      </c>
      <c r="D16" s="9" t="s">
        <v>47</v>
      </c>
      <c r="E16" s="10" t="s">
        <v>225</v>
      </c>
      <c r="F16" s="9" t="s">
        <v>388</v>
      </c>
      <c r="G16" s="10" t="s">
        <v>466</v>
      </c>
      <c r="H16" s="9" t="s">
        <v>613</v>
      </c>
      <c r="I16" s="9" t="s">
        <v>664</v>
      </c>
      <c r="J16" s="9">
        <v>66</v>
      </c>
      <c r="K16" s="9"/>
    </row>
    <row r="17" spans="1:11" ht="36.75" thickBot="1" x14ac:dyDescent="0.3">
      <c r="A17" s="1"/>
      <c r="B17" s="11">
        <f>ROW(B17) - ROW($B$2)</f>
        <v>15</v>
      </c>
      <c r="C17" s="13" t="s">
        <v>5</v>
      </c>
      <c r="D17" s="7" t="s">
        <v>48</v>
      </c>
      <c r="E17" s="8" t="s">
        <v>226</v>
      </c>
      <c r="F17" s="7" t="s">
        <v>390</v>
      </c>
      <c r="G17" s="8" t="s">
        <v>467</v>
      </c>
      <c r="H17" s="7" t="s">
        <v>613</v>
      </c>
      <c r="I17" s="7" t="s">
        <v>670</v>
      </c>
      <c r="J17" s="7">
        <v>21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5</v>
      </c>
      <c r="D18" s="9" t="s">
        <v>49</v>
      </c>
      <c r="E18" s="10" t="s">
        <v>227</v>
      </c>
      <c r="F18" s="9" t="s">
        <v>388</v>
      </c>
      <c r="G18" s="10" t="s">
        <v>468</v>
      </c>
      <c r="H18" s="9" t="s">
        <v>612</v>
      </c>
      <c r="I18" s="9" t="s">
        <v>672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5</v>
      </c>
      <c r="D19" s="7" t="s">
        <v>50</v>
      </c>
      <c r="E19" s="8" t="s">
        <v>228</v>
      </c>
      <c r="F19" s="7" t="s">
        <v>388</v>
      </c>
      <c r="G19" s="8" t="s">
        <v>469</v>
      </c>
      <c r="H19" s="7" t="s">
        <v>613</v>
      </c>
      <c r="I19" s="7" t="s">
        <v>673</v>
      </c>
      <c r="J19" s="7">
        <v>4</v>
      </c>
      <c r="K19" s="7"/>
    </row>
    <row r="20" spans="1:11" ht="60.75" thickBot="1" x14ac:dyDescent="0.3">
      <c r="A20" s="1"/>
      <c r="B20" s="11">
        <f t="shared" si="0"/>
        <v>18</v>
      </c>
      <c r="C20" s="13" t="s">
        <v>5</v>
      </c>
      <c r="D20" s="9" t="s">
        <v>51</v>
      </c>
      <c r="E20" s="10" t="s">
        <v>229</v>
      </c>
      <c r="F20" s="9" t="s">
        <v>388</v>
      </c>
      <c r="G20" s="10" t="s">
        <v>470</v>
      </c>
      <c r="H20" s="9" t="s">
        <v>613</v>
      </c>
      <c r="I20" s="9" t="s">
        <v>667</v>
      </c>
      <c r="J20" s="9">
        <v>42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5</v>
      </c>
      <c r="D21" s="7" t="s">
        <v>52</v>
      </c>
      <c r="E21" s="8" t="s">
        <v>230</v>
      </c>
      <c r="F21" s="7" t="s">
        <v>388</v>
      </c>
      <c r="G21" s="8" t="s">
        <v>471</v>
      </c>
      <c r="H21" s="7" t="s">
        <v>615</v>
      </c>
      <c r="I21" s="7" t="s">
        <v>665</v>
      </c>
      <c r="J21" s="7">
        <v>3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5</v>
      </c>
      <c r="D22" s="9" t="s">
        <v>53</v>
      </c>
      <c r="E22" s="10" t="s">
        <v>231</v>
      </c>
      <c r="F22" s="9" t="s">
        <v>388</v>
      </c>
      <c r="G22" s="10" t="s">
        <v>472</v>
      </c>
      <c r="H22" s="9" t="s">
        <v>613</v>
      </c>
      <c r="I22" s="9" t="s">
        <v>673</v>
      </c>
      <c r="J22" s="9">
        <v>15</v>
      </c>
      <c r="K22" s="9"/>
    </row>
    <row r="23" spans="1:11" ht="84.75" thickBot="1" x14ac:dyDescent="0.3">
      <c r="A23" s="1"/>
      <c r="B23" s="11">
        <f>ROW(B23) - ROW($B$2)</f>
        <v>21</v>
      </c>
      <c r="C23" s="13" t="s">
        <v>5</v>
      </c>
      <c r="D23" s="7" t="s">
        <v>54</v>
      </c>
      <c r="E23" s="8" t="s">
        <v>232</v>
      </c>
      <c r="F23" s="7" t="s">
        <v>392</v>
      </c>
      <c r="G23" s="8" t="s">
        <v>473</v>
      </c>
      <c r="H23" s="7" t="s">
        <v>613</v>
      </c>
      <c r="I23" s="7" t="s">
        <v>674</v>
      </c>
      <c r="J23" s="7">
        <v>55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5</v>
      </c>
      <c r="D24" s="9" t="s">
        <v>55</v>
      </c>
      <c r="E24" s="10" t="s">
        <v>233</v>
      </c>
      <c r="F24" s="9" t="s">
        <v>393</v>
      </c>
      <c r="G24" s="10" t="s">
        <v>474</v>
      </c>
      <c r="H24" s="9" t="s">
        <v>613</v>
      </c>
      <c r="I24" s="9" t="s">
        <v>667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5</v>
      </c>
      <c r="D25" s="7" t="s">
        <v>56</v>
      </c>
      <c r="E25" s="8" t="s">
        <v>234</v>
      </c>
      <c r="F25" s="7" t="s">
        <v>390</v>
      </c>
      <c r="G25" s="8" t="s">
        <v>475</v>
      </c>
      <c r="H25" s="7" t="s">
        <v>612</v>
      </c>
      <c r="I25" s="7" t="s">
        <v>663</v>
      </c>
      <c r="J25" s="7">
        <v>13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57</v>
      </c>
      <c r="E26" s="10" t="s">
        <v>235</v>
      </c>
      <c r="F26" s="9" t="s">
        <v>388</v>
      </c>
      <c r="G26" s="10" t="s">
        <v>476</v>
      </c>
      <c r="H26" s="9" t="s">
        <v>612</v>
      </c>
      <c r="I26" s="9" t="s">
        <v>675</v>
      </c>
      <c r="J26" s="9">
        <v>2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5</v>
      </c>
      <c r="D27" s="7" t="s">
        <v>58</v>
      </c>
      <c r="E27" s="8" t="s">
        <v>236</v>
      </c>
      <c r="F27" s="7" t="s">
        <v>388</v>
      </c>
      <c r="G27" s="8" t="s">
        <v>477</v>
      </c>
      <c r="H27" s="7" t="s">
        <v>612</v>
      </c>
      <c r="I27" s="7" t="s">
        <v>676</v>
      </c>
      <c r="J27" s="7">
        <v>9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5</v>
      </c>
      <c r="D28" s="14" t="s">
        <v>59</v>
      </c>
      <c r="E28" s="15" t="s">
        <v>236</v>
      </c>
      <c r="F28" s="14" t="s">
        <v>388</v>
      </c>
      <c r="G28" s="15" t="s">
        <v>477</v>
      </c>
      <c r="H28" s="14" t="s">
        <v>612</v>
      </c>
      <c r="I28" s="14" t="s">
        <v>677</v>
      </c>
      <c r="J28" s="14">
        <v>1</v>
      </c>
      <c r="K28" s="16" t="s">
        <v>740</v>
      </c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60</v>
      </c>
      <c r="E29" s="8" t="s">
        <v>237</v>
      </c>
      <c r="F29" s="7" t="s">
        <v>391</v>
      </c>
      <c r="G29" s="8" t="s">
        <v>478</v>
      </c>
      <c r="H29" s="7" t="s">
        <v>613</v>
      </c>
      <c r="I29" s="7" t="s">
        <v>678</v>
      </c>
      <c r="J29" s="7">
        <v>3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5</v>
      </c>
      <c r="D30" s="9" t="s">
        <v>61</v>
      </c>
      <c r="E30" s="10" t="s">
        <v>238</v>
      </c>
      <c r="F30" s="9" t="s">
        <v>394</v>
      </c>
      <c r="G30" s="10" t="s">
        <v>479</v>
      </c>
      <c r="H30" s="9" t="s">
        <v>613</v>
      </c>
      <c r="I30" s="9" t="s">
        <v>665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5</v>
      </c>
      <c r="D31" s="7" t="s">
        <v>62</v>
      </c>
      <c r="E31" s="8" t="s">
        <v>239</v>
      </c>
      <c r="F31" s="7" t="s">
        <v>390</v>
      </c>
      <c r="G31" s="8" t="s">
        <v>480</v>
      </c>
      <c r="H31" s="7" t="s">
        <v>616</v>
      </c>
      <c r="I31" s="7" t="s">
        <v>667</v>
      </c>
      <c r="J31" s="7">
        <v>3</v>
      </c>
      <c r="K31" s="7"/>
    </row>
    <row r="32" spans="1:11" ht="15.75" thickBot="1" x14ac:dyDescent="0.3">
      <c r="A32" s="1"/>
      <c r="B32" s="11">
        <f t="shared" si="0"/>
        <v>30</v>
      </c>
      <c r="C32" s="12" t="s">
        <v>5</v>
      </c>
      <c r="D32" s="9" t="s">
        <v>63</v>
      </c>
      <c r="E32" s="10" t="s">
        <v>240</v>
      </c>
      <c r="F32" s="9" t="s">
        <v>388</v>
      </c>
      <c r="G32" s="10" t="s">
        <v>481</v>
      </c>
      <c r="H32" s="9" t="s">
        <v>612</v>
      </c>
      <c r="I32" s="9" t="s">
        <v>679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5</v>
      </c>
      <c r="D33" s="7" t="s">
        <v>64</v>
      </c>
      <c r="E33" s="8" t="s">
        <v>241</v>
      </c>
      <c r="F33" s="7" t="s">
        <v>390</v>
      </c>
      <c r="G33" s="8" t="s">
        <v>482</v>
      </c>
      <c r="H33" s="7" t="s">
        <v>613</v>
      </c>
      <c r="I33" s="7" t="s">
        <v>673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2" t="s">
        <v>5</v>
      </c>
      <c r="D34" s="9" t="s">
        <v>65</v>
      </c>
      <c r="E34" s="10" t="s">
        <v>242</v>
      </c>
      <c r="F34" s="9" t="s">
        <v>390</v>
      </c>
      <c r="G34" s="10" t="s">
        <v>483</v>
      </c>
      <c r="H34" s="9" t="s">
        <v>613</v>
      </c>
      <c r="I34" s="9" t="s">
        <v>675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6</v>
      </c>
      <c r="D35" s="7" t="s">
        <v>66</v>
      </c>
      <c r="E35" s="8" t="s">
        <v>243</v>
      </c>
      <c r="F35" s="7" t="s">
        <v>395</v>
      </c>
      <c r="G35" s="8" t="s">
        <v>484</v>
      </c>
      <c r="H35" s="7" t="s">
        <v>613</v>
      </c>
      <c r="I35" s="7" t="s">
        <v>680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2" t="s">
        <v>6</v>
      </c>
      <c r="D36" s="9" t="s">
        <v>67</v>
      </c>
      <c r="E36" s="10" t="s">
        <v>244</v>
      </c>
      <c r="F36" s="7" t="s">
        <v>739</v>
      </c>
      <c r="G36" s="10" t="s">
        <v>396</v>
      </c>
      <c r="H36" s="9" t="s">
        <v>617</v>
      </c>
      <c r="I36" s="9" t="s">
        <v>667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5</v>
      </c>
      <c r="D37" s="7" t="s">
        <v>68</v>
      </c>
      <c r="E37" s="8" t="s">
        <v>245</v>
      </c>
      <c r="F37" s="7" t="s">
        <v>387</v>
      </c>
      <c r="G37" s="8" t="s">
        <v>485</v>
      </c>
      <c r="H37" s="7" t="s">
        <v>613</v>
      </c>
      <c r="I37" s="7" t="s">
        <v>681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5</v>
      </c>
      <c r="D38" s="9" t="s">
        <v>69</v>
      </c>
      <c r="E38" s="10" t="s">
        <v>246</v>
      </c>
      <c r="F38" s="7" t="s">
        <v>739</v>
      </c>
      <c r="G38" s="10" t="s">
        <v>486</v>
      </c>
      <c r="H38" s="9" t="s">
        <v>614</v>
      </c>
      <c r="I38" s="9" t="s">
        <v>663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5</v>
      </c>
      <c r="D39" s="7" t="s">
        <v>70</v>
      </c>
      <c r="E39" s="8" t="s">
        <v>247</v>
      </c>
      <c r="F39" s="7" t="s">
        <v>388</v>
      </c>
      <c r="G39" s="8" t="s">
        <v>487</v>
      </c>
      <c r="H39" s="7" t="s">
        <v>613</v>
      </c>
      <c r="I39" s="7" t="s">
        <v>682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5</v>
      </c>
      <c r="D40" s="9" t="s">
        <v>71</v>
      </c>
      <c r="E40" s="10" t="s">
        <v>248</v>
      </c>
      <c r="F40" s="7" t="s">
        <v>739</v>
      </c>
      <c r="G40" s="10" t="s">
        <v>397</v>
      </c>
      <c r="H40" s="9" t="s">
        <v>618</v>
      </c>
      <c r="I40" s="9" t="s">
        <v>663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3" t="s">
        <v>5</v>
      </c>
      <c r="D41" s="7" t="s">
        <v>72</v>
      </c>
      <c r="E41" s="8" t="s">
        <v>249</v>
      </c>
      <c r="F41" s="7" t="s">
        <v>390</v>
      </c>
      <c r="G41" s="8" t="s">
        <v>488</v>
      </c>
      <c r="H41" s="7" t="s">
        <v>613</v>
      </c>
      <c r="I41" s="7" t="s">
        <v>669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5</v>
      </c>
      <c r="D42" s="9" t="s">
        <v>73</v>
      </c>
      <c r="E42" s="10" t="s">
        <v>216</v>
      </c>
      <c r="F42" s="9" t="s">
        <v>388</v>
      </c>
      <c r="G42" s="10" t="s">
        <v>489</v>
      </c>
      <c r="H42" s="9" t="s">
        <v>616</v>
      </c>
      <c r="I42" s="9" t="s">
        <v>664</v>
      </c>
      <c r="J42" s="9">
        <v>2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5</v>
      </c>
      <c r="D43" s="7" t="s">
        <v>74</v>
      </c>
      <c r="E43" s="8" t="s">
        <v>219</v>
      </c>
      <c r="F43" s="7" t="s">
        <v>388</v>
      </c>
      <c r="G43" s="8" t="s">
        <v>490</v>
      </c>
      <c r="H43" s="7" t="s">
        <v>616</v>
      </c>
      <c r="I43" s="7" t="s">
        <v>667</v>
      </c>
      <c r="J43" s="7">
        <v>2</v>
      </c>
      <c r="K43" s="7"/>
    </row>
    <row r="44" spans="1:11" ht="36.75" thickBot="1" x14ac:dyDescent="0.3">
      <c r="A44" s="1"/>
      <c r="B44" s="11">
        <f t="shared" si="0"/>
        <v>42</v>
      </c>
      <c r="C44" s="13" t="s">
        <v>7</v>
      </c>
      <c r="D44" s="9" t="s">
        <v>75</v>
      </c>
      <c r="E44" s="10" t="s">
        <v>250</v>
      </c>
      <c r="F44" s="9" t="s">
        <v>398</v>
      </c>
      <c r="G44" s="10" t="s">
        <v>491</v>
      </c>
      <c r="H44" s="9" t="s">
        <v>619</v>
      </c>
      <c r="I44" s="9" t="s">
        <v>737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3" t="s">
        <v>7</v>
      </c>
      <c r="D45" s="7" t="s">
        <v>76</v>
      </c>
      <c r="E45" s="8" t="s">
        <v>251</v>
      </c>
      <c r="F45" s="7" t="s">
        <v>399</v>
      </c>
      <c r="G45" s="8" t="s">
        <v>492</v>
      </c>
      <c r="H45" s="7" t="s">
        <v>620</v>
      </c>
      <c r="I45" s="9" t="s">
        <v>737</v>
      </c>
      <c r="J45" s="7">
        <v>9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7</v>
      </c>
      <c r="D46" s="9" t="s">
        <v>77</v>
      </c>
      <c r="E46" s="10" t="s">
        <v>252</v>
      </c>
      <c r="F46" s="9" t="s">
        <v>400</v>
      </c>
      <c r="G46" s="10" t="s">
        <v>493</v>
      </c>
      <c r="H46" s="9" t="s">
        <v>621</v>
      </c>
      <c r="I46" s="9" t="s">
        <v>737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7</v>
      </c>
      <c r="D47" s="7" t="s">
        <v>78</v>
      </c>
      <c r="E47" s="8" t="s">
        <v>253</v>
      </c>
      <c r="F47" s="7" t="s">
        <v>401</v>
      </c>
      <c r="G47" s="8" t="s">
        <v>494</v>
      </c>
      <c r="H47" s="7" t="s">
        <v>622</v>
      </c>
      <c r="I47" s="9" t="s">
        <v>737</v>
      </c>
      <c r="J47" s="7">
        <v>2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7</v>
      </c>
      <c r="D48" s="9" t="s">
        <v>79</v>
      </c>
      <c r="E48" s="10" t="s">
        <v>254</v>
      </c>
      <c r="F48" s="9" t="s">
        <v>399</v>
      </c>
      <c r="G48" s="10" t="s">
        <v>495</v>
      </c>
      <c r="H48" s="9" t="s">
        <v>623</v>
      </c>
      <c r="I48" s="9" t="s">
        <v>737</v>
      </c>
      <c r="J48" s="9">
        <v>4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7</v>
      </c>
      <c r="D49" s="7" t="s">
        <v>80</v>
      </c>
      <c r="E49" s="8" t="s">
        <v>255</v>
      </c>
      <c r="F49" s="7" t="s">
        <v>402</v>
      </c>
      <c r="G49" s="8" t="s">
        <v>496</v>
      </c>
      <c r="H49" s="7" t="s">
        <v>619</v>
      </c>
      <c r="I49" s="9" t="s">
        <v>737</v>
      </c>
      <c r="J49" s="7">
        <v>2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7</v>
      </c>
      <c r="D50" s="9" t="s">
        <v>81</v>
      </c>
      <c r="E50" s="10" t="s">
        <v>256</v>
      </c>
      <c r="F50" s="9" t="s">
        <v>403</v>
      </c>
      <c r="G50" s="10" t="s">
        <v>497</v>
      </c>
      <c r="H50" s="9" t="s">
        <v>623</v>
      </c>
      <c r="I50" s="9" t="s">
        <v>737</v>
      </c>
      <c r="J50" s="9">
        <v>4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7</v>
      </c>
      <c r="D51" s="7" t="s">
        <v>82</v>
      </c>
      <c r="E51" s="8" t="s">
        <v>257</v>
      </c>
      <c r="F51" s="7" t="s">
        <v>404</v>
      </c>
      <c r="G51" s="8" t="s">
        <v>498</v>
      </c>
      <c r="H51" s="7" t="s">
        <v>619</v>
      </c>
      <c r="I51" s="9" t="s">
        <v>737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7</v>
      </c>
      <c r="D52" s="9" t="s">
        <v>83</v>
      </c>
      <c r="E52" s="10" t="s">
        <v>258</v>
      </c>
      <c r="F52" s="9" t="s">
        <v>405</v>
      </c>
      <c r="G52" s="10" t="s">
        <v>499</v>
      </c>
      <c r="H52" s="9" t="s">
        <v>623</v>
      </c>
      <c r="I52" s="9" t="s">
        <v>737</v>
      </c>
      <c r="J52" s="9">
        <v>8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7</v>
      </c>
      <c r="D53" s="7" t="s">
        <v>84</v>
      </c>
      <c r="E53" s="8" t="s">
        <v>259</v>
      </c>
      <c r="F53" s="7" t="s">
        <v>404</v>
      </c>
      <c r="G53" s="8" t="s">
        <v>500</v>
      </c>
      <c r="H53" s="7" t="s">
        <v>624</v>
      </c>
      <c r="I53" s="9" t="s">
        <v>737</v>
      </c>
      <c r="J53" s="7">
        <v>1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7</v>
      </c>
      <c r="D54" s="9" t="s">
        <v>85</v>
      </c>
      <c r="E54" s="10" t="s">
        <v>260</v>
      </c>
      <c r="F54" s="9" t="s">
        <v>402</v>
      </c>
      <c r="G54" s="10" t="s">
        <v>501</v>
      </c>
      <c r="H54" s="9" t="s">
        <v>625</v>
      </c>
      <c r="I54" s="9" t="s">
        <v>737</v>
      </c>
      <c r="J54" s="9">
        <v>1</v>
      </c>
      <c r="K54" s="9"/>
    </row>
    <row r="55" spans="1:11" ht="24.75" thickBot="1" x14ac:dyDescent="0.3">
      <c r="A55" s="1"/>
      <c r="B55" s="11">
        <f>ROW(B55) - ROW($B$2)</f>
        <v>53</v>
      </c>
      <c r="C55" s="12" t="s">
        <v>8</v>
      </c>
      <c r="D55" s="7" t="s">
        <v>86</v>
      </c>
      <c r="E55" s="8" t="s">
        <v>261</v>
      </c>
      <c r="F55" s="7" t="s">
        <v>401</v>
      </c>
      <c r="G55" s="8" t="s">
        <v>502</v>
      </c>
      <c r="H55" s="7" t="s">
        <v>626</v>
      </c>
      <c r="I55" s="9" t="s">
        <v>737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9</v>
      </c>
      <c r="D56" s="9" t="s">
        <v>87</v>
      </c>
      <c r="E56" s="10" t="s">
        <v>262</v>
      </c>
      <c r="F56" s="9" t="s">
        <v>406</v>
      </c>
      <c r="G56" s="10"/>
      <c r="H56" s="9"/>
      <c r="I56" s="9" t="s">
        <v>737</v>
      </c>
      <c r="J56" s="9">
        <v>1</v>
      </c>
      <c r="K56" s="9"/>
    </row>
    <row r="57" spans="1:11" ht="36.75" thickBot="1" x14ac:dyDescent="0.3">
      <c r="A57" s="1"/>
      <c r="B57" s="11">
        <f>ROW(B57) - ROW($B$2)</f>
        <v>55</v>
      </c>
      <c r="C57" s="12" t="s">
        <v>7</v>
      </c>
      <c r="D57" s="7" t="s">
        <v>88</v>
      </c>
      <c r="E57" s="8" t="s">
        <v>263</v>
      </c>
      <c r="F57" s="7" t="s">
        <v>401</v>
      </c>
      <c r="G57" s="8" t="s">
        <v>503</v>
      </c>
      <c r="H57" s="7" t="s">
        <v>627</v>
      </c>
      <c r="I57" s="9" t="s">
        <v>737</v>
      </c>
      <c r="J57" s="7">
        <v>5</v>
      </c>
      <c r="K57" s="7"/>
    </row>
    <row r="58" spans="1:11" ht="24.75" thickBot="1" x14ac:dyDescent="0.3">
      <c r="A58" s="1"/>
      <c r="B58" s="11">
        <f t="shared" si="0"/>
        <v>56</v>
      </c>
      <c r="C58" s="13" t="s">
        <v>10</v>
      </c>
      <c r="D58" s="9" t="s">
        <v>89</v>
      </c>
      <c r="E58" s="10" t="s">
        <v>264</v>
      </c>
      <c r="F58" s="9" t="s">
        <v>407</v>
      </c>
      <c r="G58" s="10" t="s">
        <v>504</v>
      </c>
      <c r="H58" s="9" t="s">
        <v>628</v>
      </c>
      <c r="I58" s="9" t="s">
        <v>737</v>
      </c>
      <c r="J58" s="9">
        <v>1</v>
      </c>
      <c r="K58" s="9"/>
    </row>
    <row r="59" spans="1:11" ht="36.75" thickBot="1" x14ac:dyDescent="0.3">
      <c r="A59" s="1"/>
      <c r="B59" s="11">
        <f>ROW(B59) - ROW($B$2)</f>
        <v>57</v>
      </c>
      <c r="C59" s="12" t="s">
        <v>11</v>
      </c>
      <c r="D59" s="7" t="s">
        <v>90</v>
      </c>
      <c r="E59" s="8" t="s">
        <v>265</v>
      </c>
      <c r="F59" s="7" t="s">
        <v>408</v>
      </c>
      <c r="G59" s="8" t="s">
        <v>505</v>
      </c>
      <c r="H59" s="7" t="s">
        <v>629</v>
      </c>
      <c r="I59" s="7" t="s">
        <v>683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11</v>
      </c>
      <c r="D60" s="9" t="s">
        <v>91</v>
      </c>
      <c r="E60" s="10" t="s">
        <v>266</v>
      </c>
      <c r="F60" s="9" t="s">
        <v>408</v>
      </c>
      <c r="G60" s="10" t="s">
        <v>506</v>
      </c>
      <c r="H60" s="9" t="s">
        <v>612</v>
      </c>
      <c r="I60" s="9" t="s">
        <v>737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11</v>
      </c>
      <c r="D61" s="7" t="s">
        <v>92</v>
      </c>
      <c r="E61" s="8" t="s">
        <v>267</v>
      </c>
      <c r="F61" s="7" t="s">
        <v>409</v>
      </c>
      <c r="G61" s="8" t="s">
        <v>507</v>
      </c>
      <c r="H61" s="7" t="s">
        <v>615</v>
      </c>
      <c r="I61" s="9" t="s">
        <v>737</v>
      </c>
      <c r="J61" s="7">
        <v>2</v>
      </c>
      <c r="K61" s="7"/>
    </row>
    <row r="62" spans="1:11" ht="48.75" thickBot="1" x14ac:dyDescent="0.3">
      <c r="A62" s="1"/>
      <c r="B62" s="11">
        <f t="shared" si="0"/>
        <v>60</v>
      </c>
      <c r="C62" s="13" t="s">
        <v>12</v>
      </c>
      <c r="D62" s="9" t="s">
        <v>93</v>
      </c>
      <c r="E62" s="10" t="s">
        <v>268</v>
      </c>
      <c r="F62" s="9" t="s">
        <v>410</v>
      </c>
      <c r="G62" s="10" t="s">
        <v>508</v>
      </c>
      <c r="H62" s="9" t="s">
        <v>630</v>
      </c>
      <c r="I62" s="9" t="s">
        <v>737</v>
      </c>
      <c r="J62" s="9">
        <v>2</v>
      </c>
      <c r="K62" s="9"/>
    </row>
    <row r="63" spans="1:11" ht="24.75" thickBot="1" x14ac:dyDescent="0.3">
      <c r="A63" s="1"/>
      <c r="B63" s="11">
        <f>ROW(B63) - ROW($B$2)</f>
        <v>61</v>
      </c>
      <c r="C63" s="12" t="s">
        <v>13</v>
      </c>
      <c r="D63" s="7" t="s">
        <v>94</v>
      </c>
      <c r="E63" s="8" t="s">
        <v>269</v>
      </c>
      <c r="F63" s="7" t="s">
        <v>739</v>
      </c>
      <c r="G63" s="8" t="s">
        <v>411</v>
      </c>
      <c r="H63" s="7" t="s">
        <v>631</v>
      </c>
      <c r="I63" s="9" t="s">
        <v>737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14</v>
      </c>
      <c r="D64" s="9" t="s">
        <v>95</v>
      </c>
      <c r="E64" s="10" t="s">
        <v>270</v>
      </c>
      <c r="F64" s="7" t="s">
        <v>739</v>
      </c>
      <c r="G64" s="10" t="s">
        <v>509</v>
      </c>
      <c r="H64" s="9"/>
      <c r="I64" s="9" t="s">
        <v>737</v>
      </c>
      <c r="J64" s="9">
        <v>1</v>
      </c>
      <c r="K64" s="9"/>
    </row>
    <row r="65" spans="1:11" ht="48.75" thickBot="1" x14ac:dyDescent="0.3">
      <c r="A65" s="1"/>
      <c r="B65" s="11">
        <f>ROW(B65) - ROW($B$2)</f>
        <v>63</v>
      </c>
      <c r="C65" s="12" t="s">
        <v>12</v>
      </c>
      <c r="D65" s="7" t="s">
        <v>96</v>
      </c>
      <c r="E65" s="8" t="s">
        <v>271</v>
      </c>
      <c r="F65" s="7" t="s">
        <v>412</v>
      </c>
      <c r="G65" s="8" t="s">
        <v>510</v>
      </c>
      <c r="H65" s="7" t="s">
        <v>630</v>
      </c>
      <c r="I65" s="9" t="s">
        <v>737</v>
      </c>
      <c r="J65" s="7">
        <v>1</v>
      </c>
      <c r="K65" s="7"/>
    </row>
    <row r="66" spans="1:11" ht="48.75" thickBot="1" x14ac:dyDescent="0.3">
      <c r="A66" s="1"/>
      <c r="B66" s="11">
        <f t="shared" si="0"/>
        <v>64</v>
      </c>
      <c r="C66" s="13" t="s">
        <v>15</v>
      </c>
      <c r="D66" s="9" t="s">
        <v>97</v>
      </c>
      <c r="E66" s="10" t="s">
        <v>272</v>
      </c>
      <c r="F66" s="7" t="s">
        <v>739</v>
      </c>
      <c r="G66" s="10" t="s">
        <v>413</v>
      </c>
      <c r="H66" s="9" t="s">
        <v>632</v>
      </c>
      <c r="I66" s="9" t="s">
        <v>737</v>
      </c>
      <c r="J66" s="9">
        <v>1</v>
      </c>
      <c r="K66" s="9"/>
    </row>
    <row r="67" spans="1:11" ht="24.75" thickBot="1" x14ac:dyDescent="0.3">
      <c r="A67" s="1"/>
      <c r="B67" s="11">
        <f>ROW(B67) - ROW($B$2)</f>
        <v>65</v>
      </c>
      <c r="C67" s="12" t="s">
        <v>13</v>
      </c>
      <c r="D67" s="7" t="s">
        <v>98</v>
      </c>
      <c r="E67" s="8" t="s">
        <v>273</v>
      </c>
      <c r="F67" s="7" t="s">
        <v>739</v>
      </c>
      <c r="G67" s="8" t="s">
        <v>414</v>
      </c>
      <c r="H67" s="7" t="s">
        <v>633</v>
      </c>
      <c r="I67" s="9" t="s">
        <v>737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16</v>
      </c>
      <c r="D68" s="9" t="s">
        <v>99</v>
      </c>
      <c r="E68" s="10" t="s">
        <v>274</v>
      </c>
      <c r="F68" s="7" t="s">
        <v>739</v>
      </c>
      <c r="G68" s="10" t="s">
        <v>415</v>
      </c>
      <c r="H68" s="9" t="s">
        <v>634</v>
      </c>
      <c r="I68" s="9" t="s">
        <v>737</v>
      </c>
      <c r="J68" s="9">
        <v>1</v>
      </c>
      <c r="K68" s="9"/>
    </row>
    <row r="69" spans="1:11" ht="36.75" thickBot="1" x14ac:dyDescent="0.3">
      <c r="A69" s="1"/>
      <c r="B69" s="11">
        <f>ROW(B69) - ROW($B$2)</f>
        <v>67</v>
      </c>
      <c r="C69" s="12" t="s">
        <v>17</v>
      </c>
      <c r="D69" s="7" t="s">
        <v>100</v>
      </c>
      <c r="E69" s="8" t="s">
        <v>275</v>
      </c>
      <c r="F69" s="7" t="s">
        <v>739</v>
      </c>
      <c r="G69" s="8" t="s">
        <v>416</v>
      </c>
      <c r="H69" s="7" t="s">
        <v>632</v>
      </c>
      <c r="I69" s="9" t="s">
        <v>737</v>
      </c>
      <c r="J69" s="7">
        <v>1</v>
      </c>
      <c r="K69" s="7"/>
    </row>
    <row r="70" spans="1:11" ht="24.75" thickBot="1" x14ac:dyDescent="0.3">
      <c r="A70" s="1"/>
      <c r="B70" s="11">
        <f t="shared" si="0"/>
        <v>68</v>
      </c>
      <c r="C70" s="13" t="s">
        <v>18</v>
      </c>
      <c r="D70" s="9" t="s">
        <v>101</v>
      </c>
      <c r="E70" s="10" t="s">
        <v>276</v>
      </c>
      <c r="F70" s="7" t="s">
        <v>739</v>
      </c>
      <c r="G70" s="10" t="s">
        <v>417</v>
      </c>
      <c r="H70" s="9" t="s">
        <v>635</v>
      </c>
      <c r="I70" s="9" t="s">
        <v>737</v>
      </c>
      <c r="J70" s="9">
        <v>1</v>
      </c>
      <c r="K70" s="9"/>
    </row>
    <row r="71" spans="1:11" ht="26.25" thickBot="1" x14ac:dyDescent="0.3">
      <c r="A71" s="1"/>
      <c r="B71" s="11">
        <f>ROW(B71) - ROW($B$2)</f>
        <v>69</v>
      </c>
      <c r="C71" s="12" t="s">
        <v>19</v>
      </c>
      <c r="D71" s="7" t="s">
        <v>102</v>
      </c>
      <c r="E71" s="8" t="s">
        <v>277</v>
      </c>
      <c r="F71" s="7" t="s">
        <v>739</v>
      </c>
      <c r="G71" s="8" t="s">
        <v>418</v>
      </c>
      <c r="H71" s="7" t="s">
        <v>636</v>
      </c>
      <c r="I71" s="9" t="s">
        <v>737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20</v>
      </c>
      <c r="D72" s="9" t="s">
        <v>103</v>
      </c>
      <c r="E72" s="10" t="s">
        <v>278</v>
      </c>
      <c r="F72" s="7" t="s">
        <v>739</v>
      </c>
      <c r="G72" s="10" t="s">
        <v>419</v>
      </c>
      <c r="H72" s="9" t="s">
        <v>618</v>
      </c>
      <c r="I72" s="9" t="s">
        <v>737</v>
      </c>
      <c r="J72" s="9">
        <v>1</v>
      </c>
      <c r="K72" s="9"/>
    </row>
    <row r="73" spans="1:11" ht="24.75" thickBot="1" x14ac:dyDescent="0.3">
      <c r="A73" s="1"/>
      <c r="B73" s="11">
        <f>ROW(B73) - ROW($B$2)</f>
        <v>71</v>
      </c>
      <c r="C73" s="12" t="s">
        <v>21</v>
      </c>
      <c r="D73" s="7" t="s">
        <v>104</v>
      </c>
      <c r="E73" s="8" t="s">
        <v>279</v>
      </c>
      <c r="F73" s="7" t="s">
        <v>739</v>
      </c>
      <c r="G73" s="8" t="s">
        <v>420</v>
      </c>
      <c r="H73" s="7" t="s">
        <v>637</v>
      </c>
      <c r="I73" s="7" t="s">
        <v>684</v>
      </c>
      <c r="J73" s="7">
        <v>1</v>
      </c>
      <c r="K73" s="7"/>
    </row>
    <row r="74" spans="1:11" ht="24.75" thickBot="1" x14ac:dyDescent="0.3">
      <c r="A74" s="1"/>
      <c r="B74" s="11">
        <f t="shared" si="0"/>
        <v>72</v>
      </c>
      <c r="C74" s="13" t="s">
        <v>21</v>
      </c>
      <c r="D74" s="9" t="s">
        <v>105</v>
      </c>
      <c r="E74" s="10" t="s">
        <v>280</v>
      </c>
      <c r="F74" s="7" t="s">
        <v>739</v>
      </c>
      <c r="G74" s="10" t="s">
        <v>421</v>
      </c>
      <c r="H74" s="9" t="s">
        <v>638</v>
      </c>
      <c r="I74" s="9" t="s">
        <v>685</v>
      </c>
      <c r="J74" s="9">
        <v>2</v>
      </c>
      <c r="K74" s="9"/>
    </row>
    <row r="75" spans="1:11" ht="24.75" thickBot="1" x14ac:dyDescent="0.3">
      <c r="A75" s="1"/>
      <c r="B75" s="11">
        <f>ROW(B75) - ROW($B$2)</f>
        <v>73</v>
      </c>
      <c r="C75" s="12" t="s">
        <v>21</v>
      </c>
      <c r="D75" s="7" t="s">
        <v>106</v>
      </c>
      <c r="E75" s="8" t="s">
        <v>281</v>
      </c>
      <c r="F75" s="7" t="s">
        <v>739</v>
      </c>
      <c r="G75" s="8" t="s">
        <v>422</v>
      </c>
      <c r="H75" s="7" t="s">
        <v>638</v>
      </c>
      <c r="I75" s="7" t="s">
        <v>686</v>
      </c>
      <c r="J75" s="7">
        <v>5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21</v>
      </c>
      <c r="D76" s="9" t="s">
        <v>107</v>
      </c>
      <c r="E76" s="10" t="s">
        <v>282</v>
      </c>
      <c r="F76" s="7" t="s">
        <v>739</v>
      </c>
      <c r="G76" s="10" t="s">
        <v>511</v>
      </c>
      <c r="H76" s="9" t="s">
        <v>639</v>
      </c>
      <c r="I76" s="9" t="s">
        <v>687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21</v>
      </c>
      <c r="D77" s="7" t="s">
        <v>108</v>
      </c>
      <c r="E77" s="8" t="s">
        <v>283</v>
      </c>
      <c r="F77" s="7" t="s">
        <v>739</v>
      </c>
      <c r="G77" s="8" t="s">
        <v>512</v>
      </c>
      <c r="H77" s="7" t="s">
        <v>639</v>
      </c>
      <c r="I77" s="7" t="s">
        <v>688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21</v>
      </c>
      <c r="D78" s="9" t="s">
        <v>109</v>
      </c>
      <c r="E78" s="10" t="s">
        <v>284</v>
      </c>
      <c r="F78" s="7" t="s">
        <v>739</v>
      </c>
      <c r="G78" s="10" t="s">
        <v>423</v>
      </c>
      <c r="H78" s="9" t="s">
        <v>638</v>
      </c>
      <c r="I78" s="9" t="s">
        <v>689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3" t="s">
        <v>21</v>
      </c>
      <c r="D79" s="7" t="s">
        <v>110</v>
      </c>
      <c r="E79" s="8" t="s">
        <v>285</v>
      </c>
      <c r="F79" s="7" t="s">
        <v>739</v>
      </c>
      <c r="G79" s="8" t="s">
        <v>513</v>
      </c>
      <c r="H79" s="7" t="s">
        <v>639</v>
      </c>
      <c r="I79" s="7" t="s">
        <v>684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22</v>
      </c>
      <c r="D80" s="9" t="s">
        <v>111</v>
      </c>
      <c r="E80" s="10" t="s">
        <v>286</v>
      </c>
      <c r="F80" s="9">
        <v>302</v>
      </c>
      <c r="G80" s="10" t="s">
        <v>514</v>
      </c>
      <c r="H80" s="9" t="s">
        <v>639</v>
      </c>
      <c r="I80" s="9" t="s">
        <v>737</v>
      </c>
      <c r="J80" s="9">
        <v>1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21</v>
      </c>
      <c r="D81" s="7" t="s">
        <v>112</v>
      </c>
      <c r="E81" s="8" t="s">
        <v>287</v>
      </c>
      <c r="F81" s="7" t="s">
        <v>409</v>
      </c>
      <c r="G81" s="8" t="s">
        <v>515</v>
      </c>
      <c r="H81" s="7" t="s">
        <v>640</v>
      </c>
      <c r="I81" s="7" t="s">
        <v>690</v>
      </c>
      <c r="J81" s="7">
        <v>1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23</v>
      </c>
      <c r="D82" s="9" t="s">
        <v>113</v>
      </c>
      <c r="E82" s="10" t="s">
        <v>288</v>
      </c>
      <c r="F82" s="9" t="s">
        <v>424</v>
      </c>
      <c r="G82" s="10" t="s">
        <v>516</v>
      </c>
      <c r="H82" s="9" t="s">
        <v>641</v>
      </c>
      <c r="I82" s="9" t="s">
        <v>737</v>
      </c>
      <c r="J82" s="9">
        <v>1</v>
      </c>
      <c r="K82" s="9"/>
    </row>
    <row r="83" spans="1:11" ht="24.75" thickBot="1" x14ac:dyDescent="0.3">
      <c r="A83" s="1"/>
      <c r="B83" s="11">
        <f>ROW(B83) - ROW($B$2)</f>
        <v>81</v>
      </c>
      <c r="C83" s="12" t="s">
        <v>23</v>
      </c>
      <c r="D83" s="7" t="s">
        <v>114</v>
      </c>
      <c r="E83" s="8" t="s">
        <v>289</v>
      </c>
      <c r="F83" s="7" t="s">
        <v>424</v>
      </c>
      <c r="G83" s="8" t="s">
        <v>517</v>
      </c>
      <c r="H83" s="7" t="s">
        <v>641</v>
      </c>
      <c r="I83" s="9" t="s">
        <v>737</v>
      </c>
      <c r="J83" s="7">
        <v>3</v>
      </c>
      <c r="K83" s="7"/>
    </row>
    <row r="84" spans="1:11" ht="24.75" thickBot="1" x14ac:dyDescent="0.3">
      <c r="A84" s="1"/>
      <c r="B84" s="11">
        <f t="shared" si="0"/>
        <v>82</v>
      </c>
      <c r="C84" s="13" t="s">
        <v>23</v>
      </c>
      <c r="D84" s="9" t="s">
        <v>115</v>
      </c>
      <c r="E84" s="10" t="s">
        <v>290</v>
      </c>
      <c r="F84" s="9" t="s">
        <v>424</v>
      </c>
      <c r="G84" s="10" t="s">
        <v>518</v>
      </c>
      <c r="H84" s="9" t="s">
        <v>641</v>
      </c>
      <c r="I84" s="9" t="s">
        <v>737</v>
      </c>
      <c r="J84" s="9">
        <v>3</v>
      </c>
      <c r="K84" s="9"/>
    </row>
    <row r="85" spans="1:11" ht="48.75" thickBot="1" x14ac:dyDescent="0.3">
      <c r="A85" s="1"/>
      <c r="B85" s="11">
        <f>ROW(B85) - ROW($B$2)</f>
        <v>83</v>
      </c>
      <c r="C85" s="12" t="s">
        <v>23</v>
      </c>
      <c r="D85" s="7" t="s">
        <v>116</v>
      </c>
      <c r="E85" s="8" t="s">
        <v>291</v>
      </c>
      <c r="F85" s="7" t="s">
        <v>424</v>
      </c>
      <c r="G85" s="8" t="s">
        <v>519</v>
      </c>
      <c r="H85" s="7" t="s">
        <v>642</v>
      </c>
      <c r="I85" s="9" t="s">
        <v>737</v>
      </c>
      <c r="J85" s="7">
        <v>2</v>
      </c>
      <c r="K85" s="7"/>
    </row>
    <row r="86" spans="1:11" ht="24.75" thickBot="1" x14ac:dyDescent="0.3">
      <c r="A86" s="1"/>
      <c r="B86" s="11">
        <f t="shared" si="0"/>
        <v>84</v>
      </c>
      <c r="C86" s="13" t="s">
        <v>23</v>
      </c>
      <c r="D86" s="9" t="s">
        <v>117</v>
      </c>
      <c r="E86" s="10" t="s">
        <v>292</v>
      </c>
      <c r="F86" s="9" t="s">
        <v>424</v>
      </c>
      <c r="G86" s="10" t="s">
        <v>520</v>
      </c>
      <c r="H86" s="9" t="s">
        <v>641</v>
      </c>
      <c r="I86" s="9" t="s">
        <v>737</v>
      </c>
      <c r="J86" s="9">
        <v>2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24</v>
      </c>
      <c r="D87" s="7" t="s">
        <v>118</v>
      </c>
      <c r="E87" s="8" t="s">
        <v>293</v>
      </c>
      <c r="F87" s="7" t="s">
        <v>400</v>
      </c>
      <c r="G87" s="8" t="s">
        <v>521</v>
      </c>
      <c r="H87" s="7" t="s">
        <v>643</v>
      </c>
      <c r="I87" s="9" t="s">
        <v>737</v>
      </c>
      <c r="J87" s="7">
        <v>2</v>
      </c>
      <c r="K87" s="7"/>
    </row>
    <row r="88" spans="1:11" ht="24.75" thickBot="1" x14ac:dyDescent="0.3">
      <c r="A88" s="1"/>
      <c r="B88" s="11">
        <f t="shared" si="0"/>
        <v>86</v>
      </c>
      <c r="C88" s="13" t="s">
        <v>25</v>
      </c>
      <c r="D88" s="9" t="s">
        <v>119</v>
      </c>
      <c r="E88" s="10" t="s">
        <v>294</v>
      </c>
      <c r="F88" s="9" t="s">
        <v>400</v>
      </c>
      <c r="G88" s="10" t="s">
        <v>522</v>
      </c>
      <c r="H88" s="9" t="s">
        <v>644</v>
      </c>
      <c r="I88" s="9" t="s">
        <v>737</v>
      </c>
      <c r="J88" s="9">
        <v>4</v>
      </c>
      <c r="K88" s="9"/>
    </row>
    <row r="89" spans="1:11" ht="24.75" thickBot="1" x14ac:dyDescent="0.3">
      <c r="A89" s="1"/>
      <c r="B89" s="11">
        <f>ROW(B89) - ROW($B$2)</f>
        <v>87</v>
      </c>
      <c r="C89" s="12" t="s">
        <v>26</v>
      </c>
      <c r="D89" s="7" t="s">
        <v>120</v>
      </c>
      <c r="E89" s="8" t="s">
        <v>295</v>
      </c>
      <c r="F89" s="7" t="s">
        <v>425</v>
      </c>
      <c r="G89" s="8" t="s">
        <v>523</v>
      </c>
      <c r="H89" s="7" t="s">
        <v>613</v>
      </c>
      <c r="I89" s="7" t="s">
        <v>691</v>
      </c>
      <c r="J89" s="7">
        <v>12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26</v>
      </c>
      <c r="D90" s="14" t="s">
        <v>121</v>
      </c>
      <c r="E90" s="15" t="s">
        <v>296</v>
      </c>
      <c r="F90" s="14" t="s">
        <v>426</v>
      </c>
      <c r="G90" s="15" t="s">
        <v>524</v>
      </c>
      <c r="H90" s="14" t="s">
        <v>613</v>
      </c>
      <c r="I90" s="14" t="s">
        <v>677</v>
      </c>
      <c r="J90" s="14">
        <v>1</v>
      </c>
      <c r="K90" s="16" t="s">
        <v>740</v>
      </c>
    </row>
    <row r="91" spans="1:11" ht="15.75" thickBot="1" x14ac:dyDescent="0.3">
      <c r="A91" s="1"/>
      <c r="B91" s="11">
        <f>ROW(B91) - ROW($B$2)</f>
        <v>89</v>
      </c>
      <c r="C91" s="13" t="s">
        <v>26</v>
      </c>
      <c r="D91" s="7" t="s">
        <v>122</v>
      </c>
      <c r="E91" s="8" t="s">
        <v>297</v>
      </c>
      <c r="F91" s="7" t="s">
        <v>427</v>
      </c>
      <c r="G91" s="8" t="s">
        <v>525</v>
      </c>
      <c r="H91" s="7" t="s">
        <v>613</v>
      </c>
      <c r="I91" s="7" t="s">
        <v>692</v>
      </c>
      <c r="J91" s="7">
        <v>1</v>
      </c>
      <c r="K91" s="7"/>
    </row>
    <row r="92" spans="1:11" ht="96.75" thickBot="1" x14ac:dyDescent="0.3">
      <c r="A92" s="1"/>
      <c r="B92" s="11">
        <f t="shared" si="0"/>
        <v>90</v>
      </c>
      <c r="C92" s="13" t="s">
        <v>26</v>
      </c>
      <c r="D92" s="9" t="s">
        <v>123</v>
      </c>
      <c r="E92" s="10" t="s">
        <v>298</v>
      </c>
      <c r="F92" s="9" t="s">
        <v>425</v>
      </c>
      <c r="G92" s="10" t="s">
        <v>526</v>
      </c>
      <c r="H92" s="9" t="s">
        <v>613</v>
      </c>
      <c r="I92" s="9" t="s">
        <v>693</v>
      </c>
      <c r="J92" s="9">
        <v>61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26</v>
      </c>
      <c r="D93" s="7" t="s">
        <v>124</v>
      </c>
      <c r="E93" s="8" t="s">
        <v>299</v>
      </c>
      <c r="F93" s="7" t="s">
        <v>425</v>
      </c>
      <c r="G93" s="8" t="s">
        <v>527</v>
      </c>
      <c r="H93" s="7" t="s">
        <v>613</v>
      </c>
      <c r="I93" s="7" t="s">
        <v>694</v>
      </c>
      <c r="J93" s="7">
        <v>9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26</v>
      </c>
      <c r="D94" s="9" t="s">
        <v>125</v>
      </c>
      <c r="E94" s="10" t="s">
        <v>300</v>
      </c>
      <c r="F94" s="9" t="s">
        <v>425</v>
      </c>
      <c r="G94" s="10" t="s">
        <v>528</v>
      </c>
      <c r="H94" s="9" t="s">
        <v>613</v>
      </c>
      <c r="I94" s="9" t="s">
        <v>695</v>
      </c>
      <c r="J94" s="9">
        <v>2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26</v>
      </c>
      <c r="D95" s="7" t="s">
        <v>126</v>
      </c>
      <c r="E95" s="8" t="s">
        <v>301</v>
      </c>
      <c r="F95" s="7" t="s">
        <v>425</v>
      </c>
      <c r="G95" s="8" t="s">
        <v>529</v>
      </c>
      <c r="H95" s="7" t="s">
        <v>613</v>
      </c>
      <c r="I95" s="7" t="s">
        <v>696</v>
      </c>
      <c r="J95" s="7">
        <v>2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26</v>
      </c>
      <c r="D96" s="9" t="s">
        <v>127</v>
      </c>
      <c r="E96" s="10" t="s">
        <v>302</v>
      </c>
      <c r="F96" s="9" t="s">
        <v>425</v>
      </c>
      <c r="G96" s="10" t="s">
        <v>530</v>
      </c>
      <c r="H96" s="9" t="s">
        <v>613</v>
      </c>
      <c r="I96" s="9" t="s">
        <v>697</v>
      </c>
      <c r="J96" s="9">
        <v>1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26</v>
      </c>
      <c r="D97" s="7" t="s">
        <v>128</v>
      </c>
      <c r="E97" s="8" t="s">
        <v>303</v>
      </c>
      <c r="F97" s="7" t="s">
        <v>425</v>
      </c>
      <c r="G97" s="8" t="s">
        <v>531</v>
      </c>
      <c r="H97" s="7" t="s">
        <v>613</v>
      </c>
      <c r="I97" s="7" t="s">
        <v>698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26</v>
      </c>
      <c r="D98" s="9" t="s">
        <v>129</v>
      </c>
      <c r="E98" s="10" t="s">
        <v>304</v>
      </c>
      <c r="F98" s="9" t="s">
        <v>425</v>
      </c>
      <c r="G98" s="10" t="s">
        <v>532</v>
      </c>
      <c r="H98" s="9" t="s">
        <v>613</v>
      </c>
      <c r="I98" s="9" t="s">
        <v>693</v>
      </c>
      <c r="J98" s="9">
        <v>1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26</v>
      </c>
      <c r="D99" s="7" t="s">
        <v>130</v>
      </c>
      <c r="E99" s="8" t="s">
        <v>305</v>
      </c>
      <c r="F99" s="7" t="s">
        <v>428</v>
      </c>
      <c r="G99" s="8" t="s">
        <v>533</v>
      </c>
      <c r="H99" s="7" t="s">
        <v>613</v>
      </c>
      <c r="I99" s="7" t="s">
        <v>699</v>
      </c>
      <c r="J99" s="7">
        <v>2</v>
      </c>
      <c r="K99" s="7"/>
    </row>
    <row r="100" spans="1:11" ht="24.75" thickBot="1" x14ac:dyDescent="0.3">
      <c r="A100" s="1"/>
      <c r="B100" s="11">
        <f t="shared" si="0"/>
        <v>98</v>
      </c>
      <c r="C100" s="13" t="s">
        <v>26</v>
      </c>
      <c r="D100" s="9" t="s">
        <v>131</v>
      </c>
      <c r="E100" s="10" t="s">
        <v>306</v>
      </c>
      <c r="F100" s="9" t="s">
        <v>425</v>
      </c>
      <c r="G100" s="10" t="s">
        <v>534</v>
      </c>
      <c r="H100" s="9" t="s">
        <v>613</v>
      </c>
      <c r="I100" s="9" t="s">
        <v>700</v>
      </c>
      <c r="J100" s="9">
        <v>10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26</v>
      </c>
      <c r="D101" s="7" t="s">
        <v>132</v>
      </c>
      <c r="E101" s="8" t="s">
        <v>307</v>
      </c>
      <c r="F101" s="7" t="s">
        <v>425</v>
      </c>
      <c r="G101" s="8" t="s">
        <v>535</v>
      </c>
      <c r="H101" s="7" t="s">
        <v>613</v>
      </c>
      <c r="I101" s="7" t="s">
        <v>701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26</v>
      </c>
      <c r="D102" s="9" t="s">
        <v>133</v>
      </c>
      <c r="E102" s="10" t="s">
        <v>308</v>
      </c>
      <c r="F102" s="9" t="s">
        <v>425</v>
      </c>
      <c r="G102" s="10" t="s">
        <v>536</v>
      </c>
      <c r="H102" s="9" t="s">
        <v>613</v>
      </c>
      <c r="I102" s="9" t="s">
        <v>702</v>
      </c>
      <c r="J102" s="9">
        <v>1</v>
      </c>
      <c r="K102" s="9"/>
    </row>
    <row r="103" spans="1:11" ht="48.75" thickBot="1" x14ac:dyDescent="0.3">
      <c r="A103" s="1"/>
      <c r="B103" s="11">
        <f>ROW(B103) - ROW($B$2)</f>
        <v>101</v>
      </c>
      <c r="C103" s="12" t="s">
        <v>26</v>
      </c>
      <c r="D103" s="7" t="s">
        <v>134</v>
      </c>
      <c r="E103" s="8" t="s">
        <v>309</v>
      </c>
      <c r="F103" s="7" t="s">
        <v>425</v>
      </c>
      <c r="G103" s="8" t="s">
        <v>537</v>
      </c>
      <c r="H103" s="7" t="s">
        <v>613</v>
      </c>
      <c r="I103" s="7" t="s">
        <v>703</v>
      </c>
      <c r="J103" s="7">
        <v>26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26</v>
      </c>
      <c r="D104" s="9" t="s">
        <v>135</v>
      </c>
      <c r="E104" s="10" t="s">
        <v>310</v>
      </c>
      <c r="F104" s="9" t="s">
        <v>425</v>
      </c>
      <c r="G104" s="10" t="s">
        <v>538</v>
      </c>
      <c r="H104" s="9" t="s">
        <v>613</v>
      </c>
      <c r="I104" s="9" t="s">
        <v>704</v>
      </c>
      <c r="J104" s="9">
        <v>1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26</v>
      </c>
      <c r="D105" s="7" t="s">
        <v>136</v>
      </c>
      <c r="E105" s="8" t="s">
        <v>311</v>
      </c>
      <c r="F105" s="7" t="s">
        <v>425</v>
      </c>
      <c r="G105" s="8" t="s">
        <v>539</v>
      </c>
      <c r="H105" s="7" t="s">
        <v>613</v>
      </c>
      <c r="I105" s="7" t="s">
        <v>705</v>
      </c>
      <c r="J105" s="7">
        <v>1</v>
      </c>
      <c r="K105" s="7"/>
    </row>
    <row r="106" spans="1:11" ht="24.75" thickBot="1" x14ac:dyDescent="0.3">
      <c r="A106" s="1"/>
      <c r="B106" s="11">
        <f t="shared" si="0"/>
        <v>104</v>
      </c>
      <c r="C106" s="12" t="s">
        <v>26</v>
      </c>
      <c r="D106" s="9" t="s">
        <v>137</v>
      </c>
      <c r="E106" s="10" t="s">
        <v>312</v>
      </c>
      <c r="F106" s="9" t="s">
        <v>425</v>
      </c>
      <c r="G106" s="10" t="s">
        <v>540</v>
      </c>
      <c r="H106" s="9" t="s">
        <v>613</v>
      </c>
      <c r="I106" s="9" t="s">
        <v>699</v>
      </c>
      <c r="J106" s="9">
        <v>10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26</v>
      </c>
      <c r="D107" s="7" t="s">
        <v>138</v>
      </c>
      <c r="E107" s="8" t="s">
        <v>313</v>
      </c>
      <c r="F107" s="7" t="s">
        <v>425</v>
      </c>
      <c r="G107" s="8" t="s">
        <v>541</v>
      </c>
      <c r="H107" s="7" t="s">
        <v>613</v>
      </c>
      <c r="I107" s="7" t="s">
        <v>704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26</v>
      </c>
      <c r="D108" s="9" t="s">
        <v>139</v>
      </c>
      <c r="E108" s="10" t="s">
        <v>314</v>
      </c>
      <c r="F108" s="9" t="s">
        <v>428</v>
      </c>
      <c r="G108" s="10" t="s">
        <v>542</v>
      </c>
      <c r="H108" s="9" t="s">
        <v>613</v>
      </c>
      <c r="I108" s="9" t="s">
        <v>699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26</v>
      </c>
      <c r="D109" s="7" t="s">
        <v>140</v>
      </c>
      <c r="E109" s="8" t="s">
        <v>315</v>
      </c>
      <c r="F109" s="7" t="s">
        <v>429</v>
      </c>
      <c r="G109" s="8" t="s">
        <v>543</v>
      </c>
      <c r="H109" s="7" t="s">
        <v>613</v>
      </c>
      <c r="I109" s="7" t="s">
        <v>683</v>
      </c>
      <c r="J109" s="7">
        <v>4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26</v>
      </c>
      <c r="D110" s="9" t="s">
        <v>141</v>
      </c>
      <c r="E110" s="10" t="s">
        <v>316</v>
      </c>
      <c r="F110" s="9" t="s">
        <v>425</v>
      </c>
      <c r="G110" s="10" t="s">
        <v>544</v>
      </c>
      <c r="H110" s="9" t="s">
        <v>613</v>
      </c>
      <c r="I110" s="9" t="s">
        <v>706</v>
      </c>
      <c r="J110" s="9">
        <v>1</v>
      </c>
      <c r="K110" s="9"/>
    </row>
    <row r="111" spans="1:11" ht="24.75" thickBot="1" x14ac:dyDescent="0.3">
      <c r="A111" s="1"/>
      <c r="B111" s="11">
        <f>ROW(B111) - ROW($B$2)</f>
        <v>109</v>
      </c>
      <c r="C111" s="13" t="s">
        <v>26</v>
      </c>
      <c r="D111" s="7" t="s">
        <v>142</v>
      </c>
      <c r="E111" s="8" t="s">
        <v>317</v>
      </c>
      <c r="F111" s="7" t="s">
        <v>425</v>
      </c>
      <c r="G111" s="8" t="s">
        <v>545</v>
      </c>
      <c r="H111" s="7" t="s">
        <v>613</v>
      </c>
      <c r="I111" s="7" t="s">
        <v>707</v>
      </c>
      <c r="J111" s="7">
        <v>10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26</v>
      </c>
      <c r="D112" s="9" t="s">
        <v>143</v>
      </c>
      <c r="E112" s="10" t="s">
        <v>318</v>
      </c>
      <c r="F112" s="9" t="s">
        <v>425</v>
      </c>
      <c r="G112" s="10" t="s">
        <v>546</v>
      </c>
      <c r="H112" s="9" t="s">
        <v>613</v>
      </c>
      <c r="I112" s="9" t="s">
        <v>708</v>
      </c>
      <c r="J112" s="9">
        <v>2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26</v>
      </c>
      <c r="D113" s="7" t="s">
        <v>144</v>
      </c>
      <c r="E113" s="8" t="s">
        <v>319</v>
      </c>
      <c r="F113" s="7" t="s">
        <v>429</v>
      </c>
      <c r="G113" s="8" t="s">
        <v>547</v>
      </c>
      <c r="H113" s="7" t="s">
        <v>613</v>
      </c>
      <c r="I113" s="7" t="s">
        <v>709</v>
      </c>
      <c r="J113" s="7">
        <v>1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26</v>
      </c>
      <c r="D114" s="14" t="s">
        <v>145</v>
      </c>
      <c r="E114" s="15" t="s">
        <v>298</v>
      </c>
      <c r="F114" s="14" t="s">
        <v>425</v>
      </c>
      <c r="G114" s="15" t="s">
        <v>526</v>
      </c>
      <c r="H114" s="14" t="s">
        <v>613</v>
      </c>
      <c r="I114" s="14" t="s">
        <v>677</v>
      </c>
      <c r="J114" s="14">
        <v>1</v>
      </c>
      <c r="K114" s="16" t="s">
        <v>740</v>
      </c>
    </row>
    <row r="115" spans="1:11" ht="24.75" thickBot="1" x14ac:dyDescent="0.3">
      <c r="A115" s="1"/>
      <c r="B115" s="11">
        <f>ROW(B115) - ROW($B$2)</f>
        <v>113</v>
      </c>
      <c r="C115" s="13" t="s">
        <v>26</v>
      </c>
      <c r="D115" s="7" t="s">
        <v>146</v>
      </c>
      <c r="E115" s="8" t="s">
        <v>320</v>
      </c>
      <c r="F115" s="7" t="s">
        <v>425</v>
      </c>
      <c r="G115" s="8" t="s">
        <v>548</v>
      </c>
      <c r="H115" s="7" t="s">
        <v>613</v>
      </c>
      <c r="I115" s="7" t="s">
        <v>710</v>
      </c>
      <c r="J115" s="7">
        <v>10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26</v>
      </c>
      <c r="D116" s="9" t="s">
        <v>147</v>
      </c>
      <c r="E116" s="10" t="s">
        <v>321</v>
      </c>
      <c r="F116" s="9" t="s">
        <v>429</v>
      </c>
      <c r="G116" s="10" t="s">
        <v>549</v>
      </c>
      <c r="H116" s="9" t="s">
        <v>613</v>
      </c>
      <c r="I116" s="9" t="s">
        <v>711</v>
      </c>
      <c r="J116" s="9">
        <v>1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26</v>
      </c>
      <c r="D117" s="7" t="s">
        <v>148</v>
      </c>
      <c r="E117" s="8" t="s">
        <v>322</v>
      </c>
      <c r="F117" s="7" t="s">
        <v>425</v>
      </c>
      <c r="G117" s="8" t="s">
        <v>550</v>
      </c>
      <c r="H117" s="7" t="s">
        <v>613</v>
      </c>
      <c r="I117" s="7" t="s">
        <v>712</v>
      </c>
      <c r="J117" s="7">
        <v>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26</v>
      </c>
      <c r="D118" s="9" t="s">
        <v>149</v>
      </c>
      <c r="E118" s="10" t="s">
        <v>323</v>
      </c>
      <c r="F118" s="9" t="s">
        <v>428</v>
      </c>
      <c r="G118" s="10" t="s">
        <v>551</v>
      </c>
      <c r="H118" s="9" t="s">
        <v>613</v>
      </c>
      <c r="I118" s="9" t="s">
        <v>713</v>
      </c>
      <c r="J118" s="9">
        <v>1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26</v>
      </c>
      <c r="D119" s="7" t="s">
        <v>150</v>
      </c>
      <c r="E119" s="8" t="s">
        <v>324</v>
      </c>
      <c r="F119" s="7" t="s">
        <v>425</v>
      </c>
      <c r="G119" s="8" t="s">
        <v>552</v>
      </c>
      <c r="H119" s="7" t="s">
        <v>613</v>
      </c>
      <c r="I119" s="7" t="s">
        <v>694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2" t="s">
        <v>26</v>
      </c>
      <c r="D120" s="9" t="s">
        <v>151</v>
      </c>
      <c r="E120" s="10" t="s">
        <v>325</v>
      </c>
      <c r="F120" s="9" t="s">
        <v>425</v>
      </c>
      <c r="G120" s="10" t="s">
        <v>553</v>
      </c>
      <c r="H120" s="9" t="s">
        <v>613</v>
      </c>
      <c r="I120" s="9" t="s">
        <v>714</v>
      </c>
      <c r="J120" s="9">
        <v>2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26</v>
      </c>
      <c r="D121" s="7" t="s">
        <v>152</v>
      </c>
      <c r="E121" s="8" t="s">
        <v>326</v>
      </c>
      <c r="F121" s="7" t="s">
        <v>428</v>
      </c>
      <c r="G121" s="8" t="s">
        <v>554</v>
      </c>
      <c r="H121" s="7" t="s">
        <v>613</v>
      </c>
      <c r="I121" s="7" t="s">
        <v>706</v>
      </c>
      <c r="J121" s="7">
        <v>3</v>
      </c>
      <c r="K121" s="7"/>
    </row>
    <row r="122" spans="1:11" ht="15.75" thickBot="1" x14ac:dyDescent="0.3">
      <c r="A122" s="1"/>
      <c r="B122" s="11">
        <f t="shared" si="0"/>
        <v>120</v>
      </c>
      <c r="C122" s="12" t="s">
        <v>26</v>
      </c>
      <c r="D122" s="9" t="s">
        <v>153</v>
      </c>
      <c r="E122" s="10" t="s">
        <v>327</v>
      </c>
      <c r="F122" s="9" t="s">
        <v>425</v>
      </c>
      <c r="G122" s="10" t="s">
        <v>555</v>
      </c>
      <c r="H122" s="9" t="s">
        <v>613</v>
      </c>
      <c r="I122" s="9" t="s">
        <v>715</v>
      </c>
      <c r="J122" s="9">
        <v>1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27</v>
      </c>
      <c r="D123" s="7" t="s">
        <v>154</v>
      </c>
      <c r="E123" s="8" t="s">
        <v>328</v>
      </c>
      <c r="F123" s="7" t="s">
        <v>425</v>
      </c>
      <c r="G123" s="8" t="s">
        <v>556</v>
      </c>
      <c r="H123" s="7" t="s">
        <v>613</v>
      </c>
      <c r="I123" s="7" t="s">
        <v>716</v>
      </c>
      <c r="J123" s="7">
        <v>2</v>
      </c>
      <c r="K123" s="7"/>
    </row>
    <row r="124" spans="1:11" ht="15.75" thickBot="1" x14ac:dyDescent="0.3">
      <c r="A124" s="1"/>
      <c r="B124" s="11">
        <f t="shared" si="0"/>
        <v>122</v>
      </c>
      <c r="C124" s="12" t="s">
        <v>27</v>
      </c>
      <c r="D124" s="14" t="s">
        <v>155</v>
      </c>
      <c r="E124" s="15" t="s">
        <v>312</v>
      </c>
      <c r="F124" s="14" t="s">
        <v>425</v>
      </c>
      <c r="G124" s="15" t="s">
        <v>540</v>
      </c>
      <c r="H124" s="14" t="s">
        <v>613</v>
      </c>
      <c r="I124" s="14" t="s">
        <v>677</v>
      </c>
      <c r="J124" s="14">
        <v>1</v>
      </c>
      <c r="K124" s="16" t="s">
        <v>740</v>
      </c>
    </row>
    <row r="125" spans="1:11" ht="15.75" thickBot="1" x14ac:dyDescent="0.3">
      <c r="A125" s="1"/>
      <c r="B125" s="11">
        <f>ROW(B125) - ROW($B$2)</f>
        <v>123</v>
      </c>
      <c r="C125" s="12" t="s">
        <v>26</v>
      </c>
      <c r="D125" s="7" t="s">
        <v>156</v>
      </c>
      <c r="E125" s="8" t="s">
        <v>329</v>
      </c>
      <c r="F125" s="7" t="s">
        <v>425</v>
      </c>
      <c r="G125" s="8" t="s">
        <v>557</v>
      </c>
      <c r="H125" s="7" t="s">
        <v>613</v>
      </c>
      <c r="I125" s="7" t="s">
        <v>717</v>
      </c>
      <c r="J125" s="7">
        <v>1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26</v>
      </c>
      <c r="D126" s="9" t="s">
        <v>157</v>
      </c>
      <c r="E126" s="10" t="s">
        <v>330</v>
      </c>
      <c r="F126" s="9" t="s">
        <v>425</v>
      </c>
      <c r="G126" s="10" t="s">
        <v>558</v>
      </c>
      <c r="H126" s="9" t="s">
        <v>613</v>
      </c>
      <c r="I126" s="9" t="s">
        <v>718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27</v>
      </c>
      <c r="D127" s="7" t="s">
        <v>158</v>
      </c>
      <c r="E127" s="8" t="s">
        <v>331</v>
      </c>
      <c r="F127" s="7" t="s">
        <v>430</v>
      </c>
      <c r="G127" s="8" t="s">
        <v>559</v>
      </c>
      <c r="H127" s="7" t="s">
        <v>613</v>
      </c>
      <c r="I127" s="7" t="s">
        <v>719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2" t="s">
        <v>27</v>
      </c>
      <c r="D128" s="9" t="s">
        <v>159</v>
      </c>
      <c r="E128" s="10" t="s">
        <v>332</v>
      </c>
      <c r="F128" s="9" t="s">
        <v>425</v>
      </c>
      <c r="G128" s="10" t="s">
        <v>560</v>
      </c>
      <c r="H128" s="9" t="s">
        <v>613</v>
      </c>
      <c r="I128" s="9" t="s">
        <v>720</v>
      </c>
      <c r="J128" s="9">
        <v>5</v>
      </c>
      <c r="K128" s="9"/>
    </row>
    <row r="129" spans="1:11" ht="15.75" thickBot="1" x14ac:dyDescent="0.3">
      <c r="A129" s="1"/>
      <c r="B129" s="11">
        <f>ROW(B129) - ROW($B$2)</f>
        <v>127</v>
      </c>
      <c r="C129" s="12" t="s">
        <v>26</v>
      </c>
      <c r="D129" s="7" t="s">
        <v>160</v>
      </c>
      <c r="E129" s="8" t="s">
        <v>333</v>
      </c>
      <c r="F129" s="7" t="s">
        <v>428</v>
      </c>
      <c r="G129" s="8" t="s">
        <v>561</v>
      </c>
      <c r="H129" s="7" t="s">
        <v>613</v>
      </c>
      <c r="I129" s="7" t="s">
        <v>721</v>
      </c>
      <c r="J129" s="7">
        <v>2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26</v>
      </c>
      <c r="D130" s="9" t="s">
        <v>161</v>
      </c>
      <c r="E130" s="10" t="s">
        <v>334</v>
      </c>
      <c r="F130" s="9" t="s">
        <v>428</v>
      </c>
      <c r="G130" s="10" t="s">
        <v>562</v>
      </c>
      <c r="H130" s="9" t="s">
        <v>613</v>
      </c>
      <c r="I130" s="9" t="s">
        <v>697</v>
      </c>
      <c r="J130" s="9">
        <v>2</v>
      </c>
      <c r="K130" s="9"/>
    </row>
    <row r="131" spans="1:11" ht="15.75" thickBot="1" x14ac:dyDescent="0.3">
      <c r="A131" s="1"/>
      <c r="B131" s="11">
        <f>ROW(B131) - ROW($B$2)</f>
        <v>129</v>
      </c>
      <c r="C131" s="13" t="s">
        <v>26</v>
      </c>
      <c r="D131" s="7" t="s">
        <v>162</v>
      </c>
      <c r="E131" s="8" t="s">
        <v>335</v>
      </c>
      <c r="F131" s="7" t="s">
        <v>425</v>
      </c>
      <c r="G131" s="8" t="s">
        <v>563</v>
      </c>
      <c r="H131" s="7" t="s">
        <v>613</v>
      </c>
      <c r="I131" s="7" t="s">
        <v>722</v>
      </c>
      <c r="J131" s="7">
        <v>5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26</v>
      </c>
      <c r="D132" s="9" t="s">
        <v>163</v>
      </c>
      <c r="E132" s="10" t="s">
        <v>336</v>
      </c>
      <c r="F132" s="9" t="s">
        <v>425</v>
      </c>
      <c r="G132" s="10" t="s">
        <v>564</v>
      </c>
      <c r="H132" s="9" t="s">
        <v>613</v>
      </c>
      <c r="I132" s="9" t="s">
        <v>721</v>
      </c>
      <c r="J132" s="9">
        <v>1</v>
      </c>
      <c r="K132" s="9"/>
    </row>
    <row r="133" spans="1:11" ht="24.75" thickBot="1" x14ac:dyDescent="0.3">
      <c r="A133" s="1"/>
      <c r="B133" s="11">
        <f>ROW(B133) - ROW($B$2)</f>
        <v>131</v>
      </c>
      <c r="C133" s="13" t="s">
        <v>26</v>
      </c>
      <c r="D133" s="7" t="s">
        <v>164</v>
      </c>
      <c r="E133" s="8" t="s">
        <v>337</v>
      </c>
      <c r="F133" s="7" t="s">
        <v>429</v>
      </c>
      <c r="G133" s="8" t="s">
        <v>565</v>
      </c>
      <c r="H133" s="7" t="s">
        <v>613</v>
      </c>
      <c r="I133" s="7" t="s">
        <v>699</v>
      </c>
      <c r="J133" s="7">
        <v>8</v>
      </c>
      <c r="K133" s="7"/>
    </row>
    <row r="134" spans="1:11" ht="15.75" thickBot="1" x14ac:dyDescent="0.3">
      <c r="A134" s="1"/>
      <c r="B134" s="11">
        <f t="shared" si="0"/>
        <v>132</v>
      </c>
      <c r="C134" s="13" t="s">
        <v>26</v>
      </c>
      <c r="D134" s="9" t="s">
        <v>165</v>
      </c>
      <c r="E134" s="10" t="s">
        <v>338</v>
      </c>
      <c r="F134" s="9" t="s">
        <v>431</v>
      </c>
      <c r="G134" s="10" t="s">
        <v>566</v>
      </c>
      <c r="H134" s="9" t="s">
        <v>613</v>
      </c>
      <c r="I134" s="9" t="s">
        <v>694</v>
      </c>
      <c r="J134" s="9">
        <v>1</v>
      </c>
      <c r="K134" s="9"/>
    </row>
    <row r="135" spans="1:11" ht="15.75" thickBot="1" x14ac:dyDescent="0.3">
      <c r="A135" s="1"/>
      <c r="B135" s="11">
        <f>ROW(B135) - ROW($B$2)</f>
        <v>133</v>
      </c>
      <c r="C135" s="12" t="s">
        <v>26</v>
      </c>
      <c r="D135" s="7" t="s">
        <v>166</v>
      </c>
      <c r="E135" s="8" t="s">
        <v>339</v>
      </c>
      <c r="F135" s="7" t="s">
        <v>428</v>
      </c>
      <c r="G135" s="8" t="s">
        <v>567</v>
      </c>
      <c r="H135" s="7" t="s">
        <v>613</v>
      </c>
      <c r="I135" s="7" t="s">
        <v>723</v>
      </c>
      <c r="J135" s="7">
        <v>2</v>
      </c>
      <c r="K135" s="7"/>
    </row>
    <row r="136" spans="1:11" ht="15.75" thickBot="1" x14ac:dyDescent="0.3">
      <c r="A136" s="1"/>
      <c r="B136" s="11">
        <f t="shared" si="0"/>
        <v>134</v>
      </c>
      <c r="C136" s="13" t="s">
        <v>28</v>
      </c>
      <c r="D136" s="9" t="s">
        <v>167</v>
      </c>
      <c r="E136" s="10" t="s">
        <v>340</v>
      </c>
      <c r="F136" s="7" t="s">
        <v>739</v>
      </c>
      <c r="G136" s="10" t="s">
        <v>568</v>
      </c>
      <c r="H136" s="9" t="s">
        <v>645</v>
      </c>
      <c r="I136" s="9" t="s">
        <v>724</v>
      </c>
      <c r="J136" s="9">
        <v>2</v>
      </c>
      <c r="K136" s="9"/>
    </row>
    <row r="137" spans="1:11" ht="15.75" thickBot="1" x14ac:dyDescent="0.3">
      <c r="A137" s="1"/>
      <c r="B137" s="11">
        <f>ROW(B137) - ROW($B$2)</f>
        <v>135</v>
      </c>
      <c r="C137" s="12" t="s">
        <v>26</v>
      </c>
      <c r="D137" s="7" t="s">
        <v>168</v>
      </c>
      <c r="E137" s="8" t="s">
        <v>341</v>
      </c>
      <c r="F137" s="7" t="s">
        <v>428</v>
      </c>
      <c r="G137" s="8" t="s">
        <v>569</v>
      </c>
      <c r="H137" s="7" t="s">
        <v>613</v>
      </c>
      <c r="I137" s="7" t="s">
        <v>725</v>
      </c>
      <c r="J137" s="7">
        <v>1</v>
      </c>
      <c r="K137" s="7"/>
    </row>
    <row r="138" spans="1:11" ht="15.75" thickBot="1" x14ac:dyDescent="0.3">
      <c r="A138" s="1"/>
      <c r="B138" s="11">
        <f t="shared" si="0"/>
        <v>136</v>
      </c>
      <c r="C138" s="12" t="s">
        <v>26</v>
      </c>
      <c r="D138" s="9" t="s">
        <v>169</v>
      </c>
      <c r="E138" s="10" t="s">
        <v>342</v>
      </c>
      <c r="F138" s="9" t="s">
        <v>425</v>
      </c>
      <c r="G138" s="10" t="s">
        <v>570</v>
      </c>
      <c r="H138" s="9" t="s">
        <v>613</v>
      </c>
      <c r="I138" s="9" t="s">
        <v>726</v>
      </c>
      <c r="J138" s="9">
        <v>1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26</v>
      </c>
      <c r="D139" s="7" t="s">
        <v>170</v>
      </c>
      <c r="E139" s="8" t="s">
        <v>343</v>
      </c>
      <c r="F139" s="7" t="s">
        <v>431</v>
      </c>
      <c r="G139" s="8" t="s">
        <v>571</v>
      </c>
      <c r="H139" s="7" t="s">
        <v>613</v>
      </c>
      <c r="I139" s="7" t="s">
        <v>706</v>
      </c>
      <c r="J139" s="7">
        <v>1</v>
      </c>
      <c r="K139" s="7"/>
    </row>
    <row r="140" spans="1:11" ht="15.75" thickBot="1" x14ac:dyDescent="0.3">
      <c r="A140" s="1"/>
      <c r="B140" s="11">
        <f t="shared" si="0"/>
        <v>138</v>
      </c>
      <c r="C140" s="12" t="s">
        <v>26</v>
      </c>
      <c r="D140" s="9" t="s">
        <v>171</v>
      </c>
      <c r="E140" s="10" t="s">
        <v>344</v>
      </c>
      <c r="F140" s="9" t="s">
        <v>425</v>
      </c>
      <c r="G140" s="10" t="s">
        <v>572</v>
      </c>
      <c r="H140" s="9" t="s">
        <v>613</v>
      </c>
      <c r="I140" s="9" t="s">
        <v>727</v>
      </c>
      <c r="J140" s="9">
        <v>1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26</v>
      </c>
      <c r="D141" s="7" t="s">
        <v>172</v>
      </c>
      <c r="E141" s="8" t="s">
        <v>345</v>
      </c>
      <c r="F141" s="7" t="s">
        <v>428</v>
      </c>
      <c r="G141" s="8" t="s">
        <v>573</v>
      </c>
      <c r="H141" s="7" t="s">
        <v>613</v>
      </c>
      <c r="I141" s="7" t="s">
        <v>691</v>
      </c>
      <c r="J141" s="7">
        <v>2</v>
      </c>
      <c r="K141" s="7"/>
    </row>
    <row r="142" spans="1:11" ht="15.75" thickBot="1" x14ac:dyDescent="0.3">
      <c r="A142" s="1"/>
      <c r="B142" s="11">
        <f t="shared" si="0"/>
        <v>140</v>
      </c>
      <c r="C142" s="12" t="s">
        <v>26</v>
      </c>
      <c r="D142" s="9" t="s">
        <v>173</v>
      </c>
      <c r="E142" s="10" t="s">
        <v>346</v>
      </c>
      <c r="F142" s="9" t="s">
        <v>428</v>
      </c>
      <c r="G142" s="10" t="s">
        <v>574</v>
      </c>
      <c r="H142" s="9" t="s">
        <v>613</v>
      </c>
      <c r="I142" s="9" t="s">
        <v>728</v>
      </c>
      <c r="J142" s="9">
        <v>1</v>
      </c>
      <c r="K142" s="9"/>
    </row>
    <row r="143" spans="1:11" ht="15.75" thickBot="1" x14ac:dyDescent="0.3">
      <c r="A143" s="1"/>
      <c r="B143" s="11">
        <f>ROW(B143) - ROW($B$2)</f>
        <v>141</v>
      </c>
      <c r="C143" s="12" t="s">
        <v>26</v>
      </c>
      <c r="D143" s="7" t="s">
        <v>174</v>
      </c>
      <c r="E143" s="8" t="s">
        <v>296</v>
      </c>
      <c r="F143" s="7" t="s">
        <v>426</v>
      </c>
      <c r="G143" s="8" t="s">
        <v>524</v>
      </c>
      <c r="H143" s="7" t="s">
        <v>613</v>
      </c>
      <c r="I143" s="7" t="s">
        <v>699</v>
      </c>
      <c r="J143" s="7">
        <v>1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26</v>
      </c>
      <c r="D144" s="9" t="s">
        <v>175</v>
      </c>
      <c r="E144" s="10" t="s">
        <v>347</v>
      </c>
      <c r="F144" s="9" t="s">
        <v>428</v>
      </c>
      <c r="G144" s="10" t="s">
        <v>575</v>
      </c>
      <c r="H144" s="9" t="s">
        <v>613</v>
      </c>
      <c r="I144" s="9" t="s">
        <v>729</v>
      </c>
      <c r="J144" s="9">
        <v>1</v>
      </c>
      <c r="K144" s="9"/>
    </row>
    <row r="145" spans="1:11" ht="15.75" thickBot="1" x14ac:dyDescent="0.3">
      <c r="A145" s="1"/>
      <c r="B145" s="11">
        <f>ROW(B145) - ROW($B$2)</f>
        <v>143</v>
      </c>
      <c r="C145" s="12" t="s">
        <v>26</v>
      </c>
      <c r="D145" s="7" t="s">
        <v>176</v>
      </c>
      <c r="E145" s="8" t="s">
        <v>348</v>
      </c>
      <c r="F145" s="7" t="s">
        <v>428</v>
      </c>
      <c r="G145" s="8" t="s">
        <v>576</v>
      </c>
      <c r="H145" s="7" t="s">
        <v>613</v>
      </c>
      <c r="I145" s="7" t="s">
        <v>693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26</v>
      </c>
      <c r="D146" s="9" t="s">
        <v>177</v>
      </c>
      <c r="E146" s="10" t="s">
        <v>349</v>
      </c>
      <c r="F146" s="9" t="s">
        <v>428</v>
      </c>
      <c r="G146" s="10" t="s">
        <v>577</v>
      </c>
      <c r="H146" s="9" t="s">
        <v>613</v>
      </c>
      <c r="I146" s="9" t="s">
        <v>730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3" t="s">
        <v>26</v>
      </c>
      <c r="D147" s="7" t="s">
        <v>178</v>
      </c>
      <c r="E147" s="8" t="s">
        <v>350</v>
      </c>
      <c r="F147" s="7" t="s">
        <v>428</v>
      </c>
      <c r="G147" s="8" t="s">
        <v>578</v>
      </c>
      <c r="H147" s="7" t="s">
        <v>613</v>
      </c>
      <c r="I147" s="7" t="s">
        <v>683</v>
      </c>
      <c r="J147" s="7">
        <v>1</v>
      </c>
      <c r="K147" s="7"/>
    </row>
    <row r="148" spans="1:11" ht="15.75" thickBot="1" x14ac:dyDescent="0.3">
      <c r="A148" s="1"/>
      <c r="B148" s="11">
        <f t="shared" si="0"/>
        <v>146</v>
      </c>
      <c r="C148" s="13" t="s">
        <v>26</v>
      </c>
      <c r="D148" s="9" t="s">
        <v>179</v>
      </c>
      <c r="E148" s="10" t="s">
        <v>351</v>
      </c>
      <c r="F148" s="9" t="s">
        <v>428</v>
      </c>
      <c r="G148" s="10" t="s">
        <v>579</v>
      </c>
      <c r="H148" s="9" t="s">
        <v>613</v>
      </c>
      <c r="I148" s="9" t="s">
        <v>700</v>
      </c>
      <c r="J148" s="9">
        <v>2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26</v>
      </c>
      <c r="D149" s="7" t="s">
        <v>180</v>
      </c>
      <c r="E149" s="8" t="s">
        <v>352</v>
      </c>
      <c r="F149" s="7" t="s">
        <v>428</v>
      </c>
      <c r="G149" s="8" t="s">
        <v>580</v>
      </c>
      <c r="H149" s="7" t="s">
        <v>613</v>
      </c>
      <c r="I149" s="7" t="s">
        <v>703</v>
      </c>
      <c r="J149" s="7">
        <v>1</v>
      </c>
      <c r="K149" s="7"/>
    </row>
    <row r="150" spans="1:11" ht="15.75" thickBot="1" x14ac:dyDescent="0.3">
      <c r="A150" s="1"/>
      <c r="B150" s="11">
        <f t="shared" si="0"/>
        <v>148</v>
      </c>
      <c r="C150" s="13" t="s">
        <v>26</v>
      </c>
      <c r="D150" s="9" t="s">
        <v>181</v>
      </c>
      <c r="E150" s="10" t="s">
        <v>353</v>
      </c>
      <c r="F150" s="9" t="s">
        <v>428</v>
      </c>
      <c r="G150" s="10" t="s">
        <v>581</v>
      </c>
      <c r="H150" s="9" t="s">
        <v>613</v>
      </c>
      <c r="I150" s="9" t="s">
        <v>731</v>
      </c>
      <c r="J150" s="9">
        <v>1</v>
      </c>
      <c r="K150" s="9"/>
    </row>
    <row r="151" spans="1:11" ht="15.75" thickBot="1" x14ac:dyDescent="0.3">
      <c r="A151" s="1"/>
      <c r="B151" s="11">
        <f>ROW(B151) - ROW($B$2)</f>
        <v>149</v>
      </c>
      <c r="C151" s="12" t="s">
        <v>29</v>
      </c>
      <c r="D151" s="7" t="s">
        <v>182</v>
      </c>
      <c r="E151" s="8" t="s">
        <v>354</v>
      </c>
      <c r="F151" s="7" t="s">
        <v>739</v>
      </c>
      <c r="G151" s="8" t="s">
        <v>432</v>
      </c>
      <c r="H151" s="7" t="s">
        <v>646</v>
      </c>
      <c r="I151" s="7" t="s">
        <v>737</v>
      </c>
      <c r="J151" s="7">
        <v>5</v>
      </c>
      <c r="K151" s="7"/>
    </row>
    <row r="152" spans="1:11" ht="36.75" thickBot="1" x14ac:dyDescent="0.3">
      <c r="A152" s="1"/>
      <c r="B152" s="11">
        <f t="shared" si="0"/>
        <v>150</v>
      </c>
      <c r="C152" s="13" t="s">
        <v>30</v>
      </c>
      <c r="D152" s="9" t="s">
        <v>183</v>
      </c>
      <c r="E152" s="10" t="s">
        <v>355</v>
      </c>
      <c r="F152" s="7" t="s">
        <v>739</v>
      </c>
      <c r="G152" s="10" t="s">
        <v>433</v>
      </c>
      <c r="H152" s="9" t="s">
        <v>647</v>
      </c>
      <c r="I152" s="7" t="s">
        <v>737</v>
      </c>
      <c r="J152" s="9">
        <v>10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30</v>
      </c>
      <c r="D153" s="7" t="s">
        <v>184</v>
      </c>
      <c r="E153" s="8" t="s">
        <v>356</v>
      </c>
      <c r="F153" s="7" t="s">
        <v>434</v>
      </c>
      <c r="G153" s="8" t="s">
        <v>582</v>
      </c>
      <c r="H153" s="7" t="s">
        <v>648</v>
      </c>
      <c r="I153" s="7" t="s">
        <v>737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30</v>
      </c>
      <c r="D154" s="9" t="s">
        <v>185</v>
      </c>
      <c r="E154" s="10" t="s">
        <v>357</v>
      </c>
      <c r="F154" s="9" t="s">
        <v>435</v>
      </c>
      <c r="G154" s="10" t="s">
        <v>583</v>
      </c>
      <c r="H154" s="9" t="s">
        <v>622</v>
      </c>
      <c r="I154" s="7" t="s">
        <v>737</v>
      </c>
      <c r="J154" s="9">
        <v>2</v>
      </c>
      <c r="K154" s="9"/>
    </row>
    <row r="155" spans="1:11" ht="15.75" thickBot="1" x14ac:dyDescent="0.3">
      <c r="A155" s="1"/>
      <c r="B155" s="11">
        <f>ROW(B155) - ROW($B$2)</f>
        <v>153</v>
      </c>
      <c r="C155" s="12" t="s">
        <v>30</v>
      </c>
      <c r="D155" s="7" t="s">
        <v>186</v>
      </c>
      <c r="E155" s="8" t="s">
        <v>358</v>
      </c>
      <c r="F155" s="7" t="s">
        <v>436</v>
      </c>
      <c r="G155" s="8" t="s">
        <v>584</v>
      </c>
      <c r="H155" s="7" t="s">
        <v>622</v>
      </c>
      <c r="I155" s="7" t="s">
        <v>737</v>
      </c>
      <c r="J155" s="7">
        <v>1</v>
      </c>
      <c r="K155" s="7"/>
    </row>
    <row r="156" spans="1:11" ht="24.75" thickBot="1" x14ac:dyDescent="0.3">
      <c r="A156" s="1"/>
      <c r="B156" s="11">
        <f t="shared" si="0"/>
        <v>154</v>
      </c>
      <c r="C156" s="13" t="s">
        <v>30</v>
      </c>
      <c r="D156" s="9" t="s">
        <v>187</v>
      </c>
      <c r="E156" s="10" t="s">
        <v>359</v>
      </c>
      <c r="F156" s="9" t="s">
        <v>437</v>
      </c>
      <c r="G156" s="10" t="s">
        <v>585</v>
      </c>
      <c r="H156" s="9" t="s">
        <v>649</v>
      </c>
      <c r="I156" s="7" t="s">
        <v>737</v>
      </c>
      <c r="J156" s="9">
        <v>1</v>
      </c>
      <c r="K156" s="9"/>
    </row>
    <row r="157" spans="1:11" ht="24.75" thickBot="1" x14ac:dyDescent="0.3">
      <c r="A157" s="1"/>
      <c r="B157" s="11">
        <f>ROW(B157) - ROW($B$2)</f>
        <v>155</v>
      </c>
      <c r="C157" s="13" t="s">
        <v>30</v>
      </c>
      <c r="D157" s="7" t="s">
        <v>188</v>
      </c>
      <c r="E157" s="8" t="s">
        <v>360</v>
      </c>
      <c r="F157" s="7" t="s">
        <v>438</v>
      </c>
      <c r="G157" s="8" t="s">
        <v>586</v>
      </c>
      <c r="H157" s="7" t="s">
        <v>650</v>
      </c>
      <c r="I157" s="7" t="s">
        <v>737</v>
      </c>
      <c r="J157" s="7">
        <v>1</v>
      </c>
      <c r="K157" s="7"/>
    </row>
    <row r="158" spans="1:11" ht="24.75" thickBot="1" x14ac:dyDescent="0.3">
      <c r="A158" s="1"/>
      <c r="B158" s="11">
        <f t="shared" si="0"/>
        <v>156</v>
      </c>
      <c r="C158" s="13" t="s">
        <v>30</v>
      </c>
      <c r="D158" s="9" t="s">
        <v>189</v>
      </c>
      <c r="E158" s="10" t="s">
        <v>361</v>
      </c>
      <c r="F158" s="9" t="s">
        <v>439</v>
      </c>
      <c r="G158" s="10" t="s">
        <v>587</v>
      </c>
      <c r="H158" s="9" t="s">
        <v>649</v>
      </c>
      <c r="I158" s="7" t="s">
        <v>737</v>
      </c>
      <c r="J158" s="9">
        <v>1</v>
      </c>
      <c r="K158" s="9"/>
    </row>
    <row r="159" spans="1:11" ht="15.75" thickBot="1" x14ac:dyDescent="0.3">
      <c r="A159" s="1"/>
      <c r="B159" s="11">
        <f>ROW(B159) - ROW($B$2)</f>
        <v>157</v>
      </c>
      <c r="C159" s="12" t="s">
        <v>30</v>
      </c>
      <c r="D159" s="7" t="s">
        <v>190</v>
      </c>
      <c r="E159" s="8" t="s">
        <v>362</v>
      </c>
      <c r="F159" s="7" t="s">
        <v>436</v>
      </c>
      <c r="G159" s="8" t="s">
        <v>588</v>
      </c>
      <c r="H159" s="7" t="s">
        <v>622</v>
      </c>
      <c r="I159" s="7" t="s">
        <v>737</v>
      </c>
      <c r="J159" s="7">
        <v>1</v>
      </c>
      <c r="K159" s="7"/>
    </row>
    <row r="160" spans="1:11" ht="24.75" thickBot="1" x14ac:dyDescent="0.3">
      <c r="A160" s="1"/>
      <c r="B160" s="11">
        <f t="shared" si="0"/>
        <v>158</v>
      </c>
      <c r="C160" s="13" t="s">
        <v>30</v>
      </c>
      <c r="D160" s="9" t="s">
        <v>191</v>
      </c>
      <c r="E160" s="10" t="s">
        <v>363</v>
      </c>
      <c r="F160" s="9" t="s">
        <v>436</v>
      </c>
      <c r="G160" s="10" t="s">
        <v>589</v>
      </c>
      <c r="H160" s="9" t="s">
        <v>650</v>
      </c>
      <c r="I160" s="7" t="s">
        <v>737</v>
      </c>
      <c r="J160" s="9">
        <v>2</v>
      </c>
      <c r="K160" s="9"/>
    </row>
    <row r="161" spans="1:11" ht="24.75" thickBot="1" x14ac:dyDescent="0.3">
      <c r="A161" s="1"/>
      <c r="B161" s="11">
        <f>ROW(B161) - ROW($B$2)</f>
        <v>159</v>
      </c>
      <c r="C161" s="12" t="s">
        <v>30</v>
      </c>
      <c r="D161" s="7" t="s">
        <v>192</v>
      </c>
      <c r="E161" s="8" t="s">
        <v>364</v>
      </c>
      <c r="F161" s="7" t="s">
        <v>436</v>
      </c>
      <c r="G161" s="8" t="s">
        <v>590</v>
      </c>
      <c r="H161" s="7" t="s">
        <v>650</v>
      </c>
      <c r="I161" s="7" t="s">
        <v>737</v>
      </c>
      <c r="J161" s="7">
        <v>1</v>
      </c>
      <c r="K161" s="7"/>
    </row>
    <row r="162" spans="1:11" ht="15.75" thickBot="1" x14ac:dyDescent="0.3">
      <c r="A162" s="1"/>
      <c r="B162" s="11">
        <f t="shared" si="0"/>
        <v>160</v>
      </c>
      <c r="C162" s="13" t="s">
        <v>30</v>
      </c>
      <c r="D162" s="9" t="s">
        <v>193</v>
      </c>
      <c r="E162" s="10" t="s">
        <v>365</v>
      </c>
      <c r="F162" s="9" t="s">
        <v>440</v>
      </c>
      <c r="G162" s="10" t="s">
        <v>591</v>
      </c>
      <c r="H162" s="9" t="s">
        <v>616</v>
      </c>
      <c r="I162" s="7" t="s">
        <v>737</v>
      </c>
      <c r="J162" s="9">
        <v>1</v>
      </c>
      <c r="K162" s="9"/>
    </row>
    <row r="163" spans="1:11" ht="15.75" thickBot="1" x14ac:dyDescent="0.3">
      <c r="A163" s="1"/>
      <c r="B163" s="11">
        <f>ROW(B163) - ROW($B$2)</f>
        <v>161</v>
      </c>
      <c r="C163" s="12" t="s">
        <v>30</v>
      </c>
      <c r="D163" s="7" t="s">
        <v>194</v>
      </c>
      <c r="E163" s="8" t="s">
        <v>366</v>
      </c>
      <c r="F163" s="7" t="s">
        <v>441</v>
      </c>
      <c r="G163" s="8" t="s">
        <v>592</v>
      </c>
      <c r="H163" s="7" t="s">
        <v>616</v>
      </c>
      <c r="I163" s="7" t="s">
        <v>737</v>
      </c>
      <c r="J163" s="7">
        <v>1</v>
      </c>
      <c r="K163" s="7"/>
    </row>
    <row r="164" spans="1:11" ht="15.75" thickBot="1" x14ac:dyDescent="0.3">
      <c r="A164" s="1"/>
      <c r="B164" s="11">
        <f t="shared" si="0"/>
        <v>162</v>
      </c>
      <c r="C164" s="13" t="s">
        <v>30</v>
      </c>
      <c r="D164" s="9" t="s">
        <v>195</v>
      </c>
      <c r="E164" s="10" t="s">
        <v>367</v>
      </c>
      <c r="F164" s="9" t="s">
        <v>442</v>
      </c>
      <c r="G164" s="10" t="s">
        <v>593</v>
      </c>
      <c r="H164" s="9" t="s">
        <v>651</v>
      </c>
      <c r="I164" s="7" t="s">
        <v>737</v>
      </c>
      <c r="J164" s="9">
        <v>1</v>
      </c>
      <c r="K164" s="9"/>
    </row>
    <row r="165" spans="1:11" ht="15.75" thickBot="1" x14ac:dyDescent="0.3">
      <c r="A165" s="1"/>
      <c r="B165" s="11">
        <f>ROW(B165) - ROW($B$2)</f>
        <v>163</v>
      </c>
      <c r="C165" s="12" t="s">
        <v>30</v>
      </c>
      <c r="D165" s="7" t="s">
        <v>196</v>
      </c>
      <c r="E165" s="8" t="s">
        <v>368</v>
      </c>
      <c r="F165" s="7" t="s">
        <v>400</v>
      </c>
      <c r="G165" s="8" t="s">
        <v>594</v>
      </c>
      <c r="H165" s="7" t="s">
        <v>622</v>
      </c>
      <c r="I165" s="7" t="s">
        <v>737</v>
      </c>
      <c r="J165" s="7">
        <v>1</v>
      </c>
      <c r="K165" s="7"/>
    </row>
    <row r="166" spans="1:11" ht="15.75" thickBot="1" x14ac:dyDescent="0.3">
      <c r="A166" s="1"/>
      <c r="B166" s="11">
        <f t="shared" si="0"/>
        <v>164</v>
      </c>
      <c r="C166" s="13" t="s">
        <v>30</v>
      </c>
      <c r="D166" s="9" t="s">
        <v>197</v>
      </c>
      <c r="E166" s="10" t="s">
        <v>369</v>
      </c>
      <c r="F166" s="9" t="s">
        <v>435</v>
      </c>
      <c r="G166" s="10" t="s">
        <v>595</v>
      </c>
      <c r="H166" s="9" t="s">
        <v>652</v>
      </c>
      <c r="I166" s="7" t="s">
        <v>737</v>
      </c>
      <c r="J166" s="9">
        <v>1</v>
      </c>
      <c r="K166" s="9"/>
    </row>
    <row r="167" spans="1:11" ht="24.75" thickBot="1" x14ac:dyDescent="0.3">
      <c r="A167" s="1"/>
      <c r="B167" s="11">
        <f>ROW(B167) - ROW($B$2)</f>
        <v>165</v>
      </c>
      <c r="C167" s="12" t="s">
        <v>30</v>
      </c>
      <c r="D167" s="7" t="s">
        <v>198</v>
      </c>
      <c r="E167" s="8" t="s">
        <v>370</v>
      </c>
      <c r="F167" s="7" t="s">
        <v>443</v>
      </c>
      <c r="G167" s="8" t="s">
        <v>596</v>
      </c>
      <c r="H167" s="7" t="s">
        <v>653</v>
      </c>
      <c r="I167" s="7" t="s">
        <v>737</v>
      </c>
      <c r="J167" s="7">
        <v>1</v>
      </c>
      <c r="K167" s="7"/>
    </row>
    <row r="168" spans="1:11" ht="24.75" thickBot="1" x14ac:dyDescent="0.3">
      <c r="A168" s="1"/>
      <c r="B168" s="11">
        <f t="shared" si="0"/>
        <v>166</v>
      </c>
      <c r="C168" s="13" t="s">
        <v>31</v>
      </c>
      <c r="D168" s="9" t="s">
        <v>199</v>
      </c>
      <c r="E168" s="10" t="s">
        <v>371</v>
      </c>
      <c r="F168" s="9" t="s">
        <v>444</v>
      </c>
      <c r="G168" s="10" t="s">
        <v>597</v>
      </c>
      <c r="H168" s="9" t="s">
        <v>654</v>
      </c>
      <c r="I168" s="7" t="s">
        <v>737</v>
      </c>
      <c r="J168" s="9">
        <v>1</v>
      </c>
      <c r="K168" s="9"/>
    </row>
    <row r="169" spans="1:11" ht="24.75" thickBot="1" x14ac:dyDescent="0.3">
      <c r="A169" s="1"/>
      <c r="B169" s="11">
        <f>ROW(B169) - ROW($B$2)</f>
        <v>167</v>
      </c>
      <c r="C169" s="12" t="s">
        <v>30</v>
      </c>
      <c r="D169" s="7" t="s">
        <v>200</v>
      </c>
      <c r="E169" s="8" t="s">
        <v>372</v>
      </c>
      <c r="F169" s="7" t="s">
        <v>445</v>
      </c>
      <c r="G169" s="8" t="s">
        <v>598</v>
      </c>
      <c r="H169" s="7" t="s">
        <v>654</v>
      </c>
      <c r="I169" s="7" t="s">
        <v>737</v>
      </c>
      <c r="J169" s="7">
        <v>1</v>
      </c>
      <c r="K169" s="7"/>
    </row>
    <row r="170" spans="1:11" ht="15.75" thickBot="1" x14ac:dyDescent="0.3">
      <c r="A170" s="1"/>
      <c r="B170" s="11">
        <f t="shared" si="0"/>
        <v>168</v>
      </c>
      <c r="C170" s="13" t="s">
        <v>30</v>
      </c>
      <c r="D170" s="9" t="s">
        <v>201</v>
      </c>
      <c r="E170" s="10" t="s">
        <v>373</v>
      </c>
      <c r="F170" s="9" t="s">
        <v>446</v>
      </c>
      <c r="G170" s="10" t="s">
        <v>599</v>
      </c>
      <c r="H170" s="9" t="s">
        <v>655</v>
      </c>
      <c r="I170" s="7" t="s">
        <v>737</v>
      </c>
      <c r="J170" s="9">
        <v>1</v>
      </c>
      <c r="K170" s="9"/>
    </row>
    <row r="171" spans="1:11" ht="24.75" thickBot="1" x14ac:dyDescent="0.3">
      <c r="A171" s="1"/>
      <c r="B171" s="11">
        <f>ROW(B171) - ROW($B$2)</f>
        <v>169</v>
      </c>
      <c r="C171" s="12" t="s">
        <v>30</v>
      </c>
      <c r="D171" s="7" t="s">
        <v>202</v>
      </c>
      <c r="E171" s="8" t="s">
        <v>374</v>
      </c>
      <c r="F171" s="7" t="s">
        <v>447</v>
      </c>
      <c r="G171" s="8" t="s">
        <v>600</v>
      </c>
      <c r="H171" s="7" t="s">
        <v>656</v>
      </c>
      <c r="I171" s="7" t="s">
        <v>737</v>
      </c>
      <c r="J171" s="7">
        <v>1</v>
      </c>
      <c r="K171" s="7"/>
    </row>
    <row r="172" spans="1:11" ht="24.75" thickBot="1" x14ac:dyDescent="0.3">
      <c r="A172" s="1"/>
      <c r="B172" s="11">
        <f t="shared" si="0"/>
        <v>170</v>
      </c>
      <c r="C172" s="12" t="s">
        <v>30</v>
      </c>
      <c r="D172" s="9" t="s">
        <v>203</v>
      </c>
      <c r="E172" s="10" t="s">
        <v>375</v>
      </c>
      <c r="F172" s="9" t="s">
        <v>739</v>
      </c>
      <c r="G172" s="10" t="s">
        <v>448</v>
      </c>
      <c r="H172" s="9" t="s">
        <v>610</v>
      </c>
      <c r="I172" s="7" t="s">
        <v>737</v>
      </c>
      <c r="J172" s="9">
        <v>1</v>
      </c>
      <c r="K172" s="9"/>
    </row>
    <row r="173" spans="1:11" ht="15.75" thickBot="1" x14ac:dyDescent="0.3">
      <c r="A173" s="1"/>
      <c r="B173" s="11">
        <f>ROW(B173) - ROW($B$2)</f>
        <v>171</v>
      </c>
      <c r="C173" s="12" t="s">
        <v>30</v>
      </c>
      <c r="D173" s="7" t="s">
        <v>204</v>
      </c>
      <c r="E173" s="8" t="s">
        <v>376</v>
      </c>
      <c r="F173" s="7" t="s">
        <v>449</v>
      </c>
      <c r="G173" s="8" t="s">
        <v>601</v>
      </c>
      <c r="H173" s="7" t="s">
        <v>648</v>
      </c>
      <c r="I173" s="7" t="s">
        <v>737</v>
      </c>
      <c r="J173" s="7">
        <v>1</v>
      </c>
      <c r="K173" s="7"/>
    </row>
    <row r="174" spans="1:11" ht="15.75" thickBot="1" x14ac:dyDescent="0.3">
      <c r="A174" s="1"/>
      <c r="B174" s="11">
        <f t="shared" si="0"/>
        <v>172</v>
      </c>
      <c r="C174" s="13" t="s">
        <v>30</v>
      </c>
      <c r="D174" s="9" t="s">
        <v>205</v>
      </c>
      <c r="E174" s="10" t="s">
        <v>377</v>
      </c>
      <c r="F174" s="9" t="s">
        <v>450</v>
      </c>
      <c r="G174" s="10" t="s">
        <v>602</v>
      </c>
      <c r="H174" s="9" t="s">
        <v>648</v>
      </c>
      <c r="I174" s="7" t="s">
        <v>737</v>
      </c>
      <c r="J174" s="9">
        <v>1</v>
      </c>
      <c r="K174" s="9"/>
    </row>
    <row r="175" spans="1:11" ht="15.75" thickBot="1" x14ac:dyDescent="0.3">
      <c r="A175" s="1"/>
      <c r="B175" s="11">
        <f>ROW(B175) - ROW($B$2)</f>
        <v>173</v>
      </c>
      <c r="C175" s="12" t="s">
        <v>30</v>
      </c>
      <c r="D175" s="7" t="s">
        <v>206</v>
      </c>
      <c r="E175" s="8" t="s">
        <v>378</v>
      </c>
      <c r="F175" s="7" t="s">
        <v>451</v>
      </c>
      <c r="G175" s="8" t="s">
        <v>603</v>
      </c>
      <c r="H175" s="7" t="s">
        <v>657</v>
      </c>
      <c r="I175" s="7" t="s">
        <v>737</v>
      </c>
      <c r="J175" s="7">
        <v>1</v>
      </c>
      <c r="K175" s="7"/>
    </row>
    <row r="176" spans="1:11" ht="15.75" thickBot="1" x14ac:dyDescent="0.3">
      <c r="A176" s="1"/>
      <c r="B176" s="11">
        <f t="shared" si="0"/>
        <v>174</v>
      </c>
      <c r="C176" s="13" t="s">
        <v>30</v>
      </c>
      <c r="D176" s="9" t="s">
        <v>207</v>
      </c>
      <c r="E176" s="10" t="s">
        <v>379</v>
      </c>
      <c r="F176" s="9" t="s">
        <v>452</v>
      </c>
      <c r="G176" s="10" t="s">
        <v>604</v>
      </c>
      <c r="H176" s="9" t="s">
        <v>658</v>
      </c>
      <c r="I176" s="7" t="s">
        <v>737</v>
      </c>
      <c r="J176" s="9">
        <v>1</v>
      </c>
      <c r="K176" s="9"/>
    </row>
    <row r="177" spans="1:11" ht="24.75" thickBot="1" x14ac:dyDescent="0.3">
      <c r="A177" s="1"/>
      <c r="B177" s="11">
        <f>ROW(B177) - ROW($B$2)</f>
        <v>175</v>
      </c>
      <c r="C177" s="12" t="s">
        <v>32</v>
      </c>
      <c r="D177" s="7" t="s">
        <v>208</v>
      </c>
      <c r="E177" s="8" t="s">
        <v>380</v>
      </c>
      <c r="F177" s="7" t="s">
        <v>453</v>
      </c>
      <c r="G177" s="8" t="s">
        <v>605</v>
      </c>
      <c r="H177" s="7" t="s">
        <v>659</v>
      </c>
      <c r="I177" s="7" t="s">
        <v>732</v>
      </c>
      <c r="J177" s="7">
        <v>1</v>
      </c>
      <c r="K177" s="7"/>
    </row>
    <row r="178" spans="1:11" ht="24.75" thickBot="1" x14ac:dyDescent="0.3">
      <c r="A178" s="1"/>
      <c r="B178" s="11">
        <f t="shared" si="0"/>
        <v>176</v>
      </c>
      <c r="C178" s="13" t="s">
        <v>32</v>
      </c>
      <c r="D178" s="9" t="s">
        <v>209</v>
      </c>
      <c r="E178" s="10" t="s">
        <v>381</v>
      </c>
      <c r="F178" s="9" t="s">
        <v>454</v>
      </c>
      <c r="G178" s="10" t="s">
        <v>606</v>
      </c>
      <c r="H178" s="9" t="s">
        <v>660</v>
      </c>
      <c r="I178" s="9" t="s">
        <v>733</v>
      </c>
      <c r="J178" s="9">
        <v>1</v>
      </c>
      <c r="K178" s="9"/>
    </row>
    <row r="179" spans="1:11" ht="36.75" thickBot="1" x14ac:dyDescent="0.3">
      <c r="A179" s="1"/>
      <c r="B179" s="11">
        <f>ROW(B179) - ROW($B$2)</f>
        <v>177</v>
      </c>
      <c r="C179" s="13" t="s">
        <v>32</v>
      </c>
      <c r="D179" s="7" t="s">
        <v>210</v>
      </c>
      <c r="E179" s="8" t="s">
        <v>382</v>
      </c>
      <c r="F179" s="9" t="s">
        <v>739</v>
      </c>
      <c r="G179" s="8" t="s">
        <v>607</v>
      </c>
      <c r="H179" s="7" t="s">
        <v>661</v>
      </c>
      <c r="I179" s="7" t="s">
        <v>734</v>
      </c>
      <c r="J179" s="7">
        <v>1</v>
      </c>
      <c r="K179" s="7"/>
    </row>
    <row r="180" spans="1:11" ht="36.75" thickBot="1" x14ac:dyDescent="0.3">
      <c r="B180" s="11">
        <f>ROW(B180) - ROW($B$2)</f>
        <v>178</v>
      </c>
      <c r="C180" s="13" t="s">
        <v>741</v>
      </c>
      <c r="D180" s="7" t="s">
        <v>742</v>
      </c>
      <c r="E180" s="7" t="s">
        <v>743</v>
      </c>
      <c r="F180" s="7" t="s">
        <v>739</v>
      </c>
      <c r="G180" s="7" t="s">
        <v>744</v>
      </c>
      <c r="H180" s="7" t="s">
        <v>745</v>
      </c>
      <c r="I180" s="7" t="s">
        <v>737</v>
      </c>
      <c r="J180" s="7">
        <v>1</v>
      </c>
      <c r="K180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2024-05-07T08:08:52Z</dcterms:modified>
</cp:coreProperties>
</file>